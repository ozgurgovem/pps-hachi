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barisg./Developer/pps-hachi/reference/"/>
    </mc:Choice>
  </mc:AlternateContent>
  <xr:revisionPtr revIDLastSave="0" documentId="13_ncr:1_{E6006A38-FBAB-2242-A4EC-151CF70A4B92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A3 Summary" sheetId="1" r:id="rId1"/>
    <sheet name="Problem Definition" sheetId="2" r:id="rId2"/>
    <sheet name="Data Analysis" sheetId="3" r:id="rId3"/>
    <sheet name="Root Cause Analysis" sheetId="4" r:id="rId4"/>
    <sheet name="Action Plan" sheetId="5" r:id="rId5"/>
    <sheet name="Effectiveness Check" sheetId="6" r:id="rId6"/>
    <sheet name="Lessons Learned" sheetId="7" r:id="rId7"/>
    <sheet name="Lists &amp; Settings" sheetId="8" r:id="rId8"/>
  </sheets>
  <definedNames>
    <definedName name="_xlnm.Print_Area" localSheetId="0">'A3 Summary'!$A$1:$Y$45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6" l="1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G23" i="6"/>
  <c r="G22" i="6"/>
  <c r="G21" i="6"/>
  <c r="G20" i="6"/>
  <c r="G19" i="6"/>
  <c r="G18" i="6"/>
  <c r="G17" i="6"/>
  <c r="G16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K28" i="5"/>
  <c r="L28" i="5" s="1"/>
  <c r="K27" i="5"/>
  <c r="L27" i="5" s="1"/>
  <c r="K26" i="5"/>
  <c r="L26" i="5" s="1"/>
  <c r="K25" i="5"/>
  <c r="L25" i="5" s="1"/>
  <c r="K24" i="5"/>
  <c r="L24" i="5" s="1"/>
  <c r="K23" i="5"/>
  <c r="L23" i="5" s="1"/>
  <c r="K22" i="5"/>
  <c r="L22" i="5" s="1"/>
  <c r="K21" i="5"/>
  <c r="L21" i="5" s="1"/>
  <c r="K20" i="5"/>
  <c r="L20" i="5" s="1"/>
  <c r="K19" i="5"/>
  <c r="L19" i="5" s="1"/>
  <c r="K18" i="5"/>
  <c r="L18" i="5" s="1"/>
  <c r="K17" i="5"/>
  <c r="L17" i="5" s="1"/>
  <c r="K16" i="5"/>
  <c r="L16" i="5" s="1"/>
  <c r="K15" i="5"/>
  <c r="L15" i="5" s="1"/>
  <c r="K14" i="5"/>
  <c r="L14" i="5" s="1"/>
  <c r="K13" i="5"/>
  <c r="L13" i="5" s="1"/>
  <c r="K12" i="5"/>
  <c r="L12" i="5" s="1"/>
  <c r="K11" i="5"/>
  <c r="L11" i="5" s="1"/>
  <c r="K10" i="5"/>
  <c r="L10" i="5" s="1"/>
  <c r="K9" i="5"/>
  <c r="L9" i="5" s="1"/>
  <c r="K8" i="5"/>
  <c r="L8" i="5" s="1"/>
  <c r="K7" i="5"/>
  <c r="L7" i="5" s="1"/>
  <c r="K6" i="5"/>
  <c r="L6" i="5" s="1"/>
  <c r="K5" i="5"/>
  <c r="L5" i="5" s="1"/>
  <c r="K4" i="5"/>
  <c r="L4" i="5" s="1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Baris G.</author>
  </authors>
  <commentList>
    <comment ref="A7" authorId="0" shapeId="0" xr:uid="{4AF4ECA2-B5C6-E744-A81C-1E3AABD770AD}">
      <text>
        <r>
          <rPr>
            <sz val="10"/>
            <color rgb="FF000000"/>
            <rFont val="Carlito"/>
          </rPr>
          <t xml:space="preserve">Problemi gözlenebilir gerçeklerle yazın; Şüphelenilen nedenleri Adım 4 altında değerlendirin.
</t>
        </r>
        <r>
          <rPr>
            <sz val="10"/>
            <color rgb="FF000000"/>
            <rFont val="Tahoma"/>
            <family val="2"/>
            <charset val="162"/>
          </rPr>
          <t xml:space="preserve">Durumu inceleyin ve ana problemi açık, ölçülebilir 
</t>
        </r>
        <r>
          <rPr>
            <sz val="10"/>
            <color rgb="FF000000"/>
            <rFont val="Tahoma"/>
            <family val="2"/>
            <charset val="162"/>
          </rPr>
          <t>ve neden varsaymadan ortaya koyun.</t>
        </r>
      </text>
    </comment>
    <comment ref="A16" authorId="0" shapeId="0" xr:uid="{F89E7A5A-66FF-4C4B-B140-CC770AD029E4}">
      <text>
        <r>
          <rPr>
            <sz val="10"/>
            <color rgb="FF000000"/>
            <rFont val="Tahoma"/>
            <family val="2"/>
            <charset val="162"/>
          </rPr>
          <t>Büyük sorunu daha küçük, veriyle karşılaştırılabilir ve yönetilebilir alt parçalara bölün. Mevcut durumu gembada doğrulayın.</t>
        </r>
      </text>
    </comment>
    <comment ref="N33" authorId="0" shapeId="0" xr:uid="{1FD4167F-30AE-2647-9322-A8B067DB890C}">
      <text>
        <r>
          <rPr>
            <sz val="10"/>
            <color rgb="FF000000"/>
            <rFont val="Tahoma"/>
            <family val="2"/>
            <charset val="162"/>
          </rPr>
          <t>Süreci ve elde edilen sonuçları takip edin; hedef, önce/sonra ve sürdürülebilirlik verilerini karşılaştırın.</t>
        </r>
      </text>
    </comment>
    <comment ref="A37" authorId="0" shapeId="0" xr:uid="{6190A56C-E822-434B-BFB0-4FFAD2AC4049}">
      <text>
        <r>
          <rPr>
            <sz val="10"/>
            <color rgb="FF000000"/>
            <rFont val="Tahoma"/>
            <family val="2"/>
            <charset val="162"/>
          </rPr>
          <t>Ulaşılmak istenen somut, gerçekçi, zaman sınırlı hedefi; başlangıç değeri ve KPI tanımıyla birlikte belirleyin.</t>
        </r>
      </text>
    </comment>
    <comment ref="N39" authorId="0" shapeId="0" xr:uid="{607A9062-85FC-5142-99D1-DC64F733A4DD}">
      <text>
        <r>
          <rPr>
            <sz val="10"/>
            <color rgb="FF000000"/>
            <rFont val="Tahoma"/>
            <family val="2"/>
            <charset val="162"/>
          </rPr>
          <t>Başarılı sonucu standart hâle getirin, ilgili dokümanları güncelleyin ve yatay yayılım ile paylaşın.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tc={2A4FA74A-F399-3533-658A-75D2937F9160}</author>
  </authors>
  <commentList>
    <comment ref="L3" authorId="0" shapeId="0" xr:uid="{00000000-0006-0000-0400-000001000000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RAG is formula-driven: blocked or overdue = Red; due within three days = Amber; otherwise Green; completed = Green.</t>
      </text>
    </comment>
  </commentList>
</comments>
</file>

<file path=xl/sharedStrings.xml><?xml version="1.0" encoding="utf-8"?>
<sst xmlns="http://schemas.openxmlformats.org/spreadsheetml/2006/main" count="1114" uniqueCount="320">
  <si>
    <t>OTOMOTİV PPS / 8 ADIMLI A3 PROBLEM ÇÖZME FORMATI</t>
  </si>
  <si>
    <t>VAKA BİLGİLERİ</t>
  </si>
  <si>
    <t>KAT</t>
  </si>
  <si>
    <t>VAKA BİLGİLERİ — DEVAM</t>
  </si>
  <si>
    <t>PPS ID</t>
  </si>
  <si>
    <t>Problem Başlığı</t>
  </si>
  <si>
    <t>Problem Sahibi</t>
  </si>
  <si>
    <t>Müşteri / Tesis</t>
  </si>
  <si>
    <t>Hat / Makine</t>
  </si>
  <si>
    <t>Öncelik</t>
  </si>
  <si>
    <t>Bölüm</t>
  </si>
  <si>
    <t>Parça / Proses</t>
  </si>
  <si>
    <t>Açılış Tarihi</t>
  </si>
  <si>
    <t>Revizyon</t>
  </si>
  <si>
    <t>Hedef Kapanış</t>
  </si>
  <si>
    <t>Genel RAG</t>
  </si>
  <si>
    <t>ADIM 1 — PROBLEMİ NETLEŞTİRİN</t>
  </si>
  <si>
    <t>ADIM 4 — KÖK NEDENİ ANALİZ EDİN</t>
  </si>
  <si>
    <t>Problemin net tanımı: Ne? Nerede? Ne zaman? Ne kadar?</t>
  </si>
  <si>
    <t>Müşteri / güvenlik / kalite / teslimat / maliyet etkisi</t>
  </si>
  <si>
    <t>ADIM 5 — UYGULAMA PLANI YAPIN</t>
  </si>
  <si>
    <t>ADIM 2 — PROBLEMİ PARÇALARA AYIRIN</t>
  </si>
  <si>
    <t>ID</t>
  </si>
  <si>
    <t>Aksiyon / karşı önlem</t>
  </si>
  <si>
    <t>Sorumlu</t>
  </si>
  <si>
    <t>Termin</t>
  </si>
  <si>
    <t>Durum</t>
  </si>
  <si>
    <t>ADIM 6 — ÇÖZÜMLERİ UYGULAYIN</t>
  </si>
  <si>
    <t>Mevcut durum / trend / problem noktası</t>
  </si>
  <si>
    <t>Gemba gözlemi / Is–Is Not / kapsam dışı</t>
  </si>
  <si>
    <t>Aksiyon ID</t>
  </si>
  <si>
    <t>Uygulama / tamamlanma kanıtı</t>
  </si>
  <si>
    <t>Tarih</t>
  </si>
  <si>
    <t>Sorun / sapma</t>
  </si>
  <si>
    <t>ADIM 7 — SONUÇLARI İZLEYİN</t>
  </si>
  <si>
    <t>ADIM 3 — HEDEF BELİRLEYİN</t>
  </si>
  <si>
    <t>KPI</t>
  </si>
  <si>
    <t>Önce</t>
  </si>
  <si>
    <t>Hedef</t>
  </si>
  <si>
    <t>Sonra</t>
  </si>
  <si>
    <t>Sürdürme</t>
  </si>
  <si>
    <t>Sonuç</t>
  </si>
  <si>
    <t>SMART hedef ve beklenen durum</t>
  </si>
  <si>
    <t>Başlangıç</t>
  </si>
  <si>
    <t>ADIM 8 — STANDARDİZE EDİN</t>
  </si>
  <si>
    <t>Standart / doküman</t>
  </si>
  <si>
    <t>Güncellendi?</t>
  </si>
  <si>
    <t>Sorumlu / tarih</t>
  </si>
  <si>
    <t>Yatay yayılım / ders</t>
  </si>
  <si>
    <t>Hedef tarihi / takip sıklığı / veri kaynağı:</t>
  </si>
  <si>
    <t>Sol taraf gözden geçiren</t>
  </si>
  <si>
    <t>Karar</t>
  </si>
  <si>
    <t>Sağ taraf gözden geçiren</t>
  </si>
  <si>
    <t>Kapanış kararı</t>
  </si>
  <si>
    <t>Onay</t>
  </si>
  <si>
    <t>PROBLEM DEFINITION</t>
  </si>
  <si>
    <t>Clarify the gap before analysing causes. Use facts from gemba and traceable data.</t>
  </si>
  <si>
    <t>5W2H / SCOPE</t>
  </si>
  <si>
    <t>Field</t>
  </si>
  <si>
    <t>Entry</t>
  </si>
  <si>
    <t>Evidence / source</t>
  </si>
  <si>
    <t>What</t>
  </si>
  <si>
    <t>Where</t>
  </si>
  <si>
    <t>When / frequency</t>
  </si>
  <si>
    <t>Who affected</t>
  </si>
  <si>
    <t>How many / magnitude</t>
  </si>
  <si>
    <t>How much cost / risk</t>
  </si>
  <si>
    <t>IS / IS NOT</t>
  </si>
  <si>
    <t>GEMBA OBSERVATION</t>
  </si>
  <si>
    <t>Dimension</t>
  </si>
  <si>
    <t>IS</t>
  </si>
  <si>
    <t>IS NOT</t>
  </si>
  <si>
    <t>Boundary / implication</t>
  </si>
  <si>
    <t>Product</t>
  </si>
  <si>
    <t>Process step</t>
  </si>
  <si>
    <t>Location</t>
  </si>
  <si>
    <t>Time</t>
  </si>
  <si>
    <t>Population</t>
  </si>
  <si>
    <t>PROBLEM BREAKDOWN / PRIORITISATION</t>
  </si>
  <si>
    <t>Segment</t>
  </si>
  <si>
    <t>Measure</t>
  </si>
  <si>
    <t>Baseline</t>
  </si>
  <si>
    <t>Defects</t>
  </si>
  <si>
    <t>Volume</t>
  </si>
  <si>
    <t>Rate</t>
  </si>
  <si>
    <t>Share</t>
  </si>
  <si>
    <t>Priority</t>
  </si>
  <si>
    <t>Selected?</t>
  </si>
  <si>
    <t>Evidence</t>
  </si>
  <si>
    <t>Owner</t>
  </si>
  <si>
    <t>Notes</t>
  </si>
  <si>
    <t>Process</t>
  </si>
  <si>
    <t>Shift</t>
  </si>
  <si>
    <t>Machine</t>
  </si>
  <si>
    <t>Supplier lot</t>
  </si>
  <si>
    <t>Customer</t>
  </si>
  <si>
    <t>Other</t>
  </si>
  <si>
    <t>DATA ANALYSIS</t>
  </si>
  <si>
    <t>Enter chronological KPI observations. The chart updates from the table.</t>
  </si>
  <si>
    <t>Date</t>
  </si>
  <si>
    <t>Actual</t>
  </si>
  <si>
    <t>Target</t>
  </si>
  <si>
    <t>Unit</t>
  </si>
  <si>
    <t>Phase</t>
  </si>
  <si>
    <t>Product / Line</t>
  </si>
  <si>
    <t>Source / Evidence</t>
  </si>
  <si>
    <t>Comment</t>
  </si>
  <si>
    <t>Primary KPI</t>
  </si>
  <si>
    <t>ROOT CAUSE ANALYSIS</t>
  </si>
  <si>
    <t>Separate occurrence, escape/detection and systemic causes. Verify every selected root cause with evidence.</t>
  </si>
  <si>
    <t>ISHIKAWA / CAUSE HYPOTHESES</t>
  </si>
  <si>
    <t>Cause ID</t>
  </si>
  <si>
    <t>Category</t>
  </si>
  <si>
    <t>Potential cause</t>
  </si>
  <si>
    <t>Occurrence / Escape / Systemic</t>
  </si>
  <si>
    <t>Evidence for</t>
  </si>
  <si>
    <t>Evidence against</t>
  </si>
  <si>
    <t>Test method</t>
  </si>
  <si>
    <t>Test owner</t>
  </si>
  <si>
    <t>Due date</t>
  </si>
  <si>
    <t>Result</t>
  </si>
  <si>
    <t>Verification</t>
  </si>
  <si>
    <t>Selected root?</t>
  </si>
  <si>
    <t>Risk</t>
  </si>
  <si>
    <t>C01</t>
  </si>
  <si>
    <t>Man</t>
  </si>
  <si>
    <t>Occurrence</t>
  </si>
  <si>
    <t>Not Tested</t>
  </si>
  <si>
    <t>No</t>
  </si>
  <si>
    <t>C02</t>
  </si>
  <si>
    <t>C03</t>
  </si>
  <si>
    <t>Method</t>
  </si>
  <si>
    <t>C04</t>
  </si>
  <si>
    <t>Material</t>
  </si>
  <si>
    <t>C05</t>
  </si>
  <si>
    <t>Measurement</t>
  </si>
  <si>
    <t>Escape</t>
  </si>
  <si>
    <t>C06</t>
  </si>
  <si>
    <t>Environment</t>
  </si>
  <si>
    <t>Systemic</t>
  </si>
  <si>
    <t>C07</t>
  </si>
  <si>
    <t>Management System</t>
  </si>
  <si>
    <t>5 WHY CHAINS</t>
  </si>
  <si>
    <t>Chain</t>
  </si>
  <si>
    <t>Cause type</t>
  </si>
  <si>
    <t>Problem / starting point</t>
  </si>
  <si>
    <t>Why 1</t>
  </si>
  <si>
    <t>Why 2</t>
  </si>
  <si>
    <t>Why 3</t>
  </si>
  <si>
    <t>Why 4</t>
  </si>
  <si>
    <t>Why 5</t>
  </si>
  <si>
    <t>Root cause statement</t>
  </si>
  <si>
    <t>Can switch on/off?</t>
  </si>
  <si>
    <t>W1</t>
  </si>
  <si>
    <t>W2</t>
  </si>
  <si>
    <t>W3</t>
  </si>
  <si>
    <t>W4</t>
  </si>
  <si>
    <t>W5</t>
  </si>
  <si>
    <t>W6</t>
  </si>
  <si>
    <t>W7</t>
  </si>
  <si>
    <t>W8</t>
  </si>
  <si>
    <t>ROOT CAUSE VERIFICATION &amp; APPROVAL</t>
  </si>
  <si>
    <t>Verified root cause</t>
  </si>
  <si>
    <t>Type</t>
  </si>
  <si>
    <t>Evidence summary</t>
  </si>
  <si>
    <t>Reproduction / disconfirmation test</t>
  </si>
  <si>
    <t>Confidence %</t>
  </si>
  <si>
    <t>Approver</t>
  </si>
  <si>
    <t>Approval date</t>
  </si>
  <si>
    <t>Decision</t>
  </si>
  <si>
    <t>Linked action IDs</t>
  </si>
  <si>
    <t>Residual uncertainty</t>
  </si>
  <si>
    <t>Customer relevance</t>
  </si>
  <si>
    <t>Draft</t>
  </si>
  <si>
    <t>ACTION PLAN &amp; CONTAINMENT TRACKER</t>
  </si>
  <si>
    <t>All actions need a verified cause link, accountable owner, due date and objective completion evidence.</t>
  </si>
  <si>
    <t>Action ID</t>
  </si>
  <si>
    <t>Action / countermeasure</t>
  </si>
  <si>
    <t>Planned start</t>
  </si>
  <si>
    <t>Actual finish</t>
  </si>
  <si>
    <t>Status</t>
  </si>
  <si>
    <t>Days late</t>
  </si>
  <si>
    <t>RAG</t>
  </si>
  <si>
    <t>Completion evidence</t>
  </si>
  <si>
    <t>Effectiveness evidence</t>
  </si>
  <si>
    <t>Customer approval</t>
  </si>
  <si>
    <t>A01</t>
  </si>
  <si>
    <t>Corrective</t>
  </si>
  <si>
    <t>Not Started</t>
  </si>
  <si>
    <t>Medium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</si>
  <si>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</si>
  <si>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</si>
  <si>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</si>
  <si>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</si>
  <si>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</si>
  <si>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</si>
  <si>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</si>
  <si>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</si>
  <si>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</si>
  <si>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</si>
  <si>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</si>
  <si>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</si>
  <si>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</si>
  <si>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</si>
  <si>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</si>
  <si>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</si>
  <si>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</si>
  <si>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</si>
  <si>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</si>
  <si>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</si>
  <si>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</si>
  <si>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</si>
  <si>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</si>
  <si>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</si>
  <si>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EFFECTIVENESS CHECK</t>
  </si>
  <si>
    <t>Confirm that results are sustained, not merely improved immediately after implementation.</t>
  </si>
  <si>
    <t>KPI VERIFICATION</t>
  </si>
  <si>
    <t>Definition</t>
  </si>
  <si>
    <t>Post-action</t>
  </si>
  <si>
    <t>Sustain</t>
  </si>
  <si>
    <t>Improvement %</t>
  </si>
  <si>
    <t>Target met?</t>
  </si>
  <si>
    <t>Verification window</t>
  </si>
  <si>
    <t>Evidence URL / ref</t>
  </si>
  <si>
    <t>Conclusion</t>
  </si>
  <si>
    <t>Secondary KPI 1</t>
  </si>
  <si>
    <t>Secondary KPI 2</t>
  </si>
  <si>
    <t>Customer escapes</t>
  </si>
  <si>
    <t>Scrap / rework</t>
  </si>
  <si>
    <t>Process capability</t>
  </si>
  <si>
    <t>Detection effectiveness</t>
  </si>
  <si>
    <t>SUSTAINMENT AUDITS</t>
  </si>
  <si>
    <t>Audit date</t>
  </si>
  <si>
    <t>Area / line</t>
  </si>
  <si>
    <t>Standard checked</t>
  </si>
  <si>
    <t>Sample size</t>
  </si>
  <si>
    <t>Conforming</t>
  </si>
  <si>
    <t>Nonconforming</t>
  </si>
  <si>
    <t>Compliance %</t>
  </si>
  <si>
    <t>Auditor</t>
  </si>
  <si>
    <t>Finding</t>
  </si>
  <si>
    <t>Reaction action ID</t>
  </si>
  <si>
    <t>Next audit</t>
  </si>
  <si>
    <t>Planned</t>
  </si>
  <si>
    <t>STANDARDIZATION, YOKOTEN &amp; LESSONS LEARNED</t>
  </si>
  <si>
    <t>DOCUMENT / SYSTEM UPDATES</t>
  </si>
  <si>
    <t>Item</t>
  </si>
  <si>
    <t>Update required?</t>
  </si>
  <si>
    <t>Document / system ID</t>
  </si>
  <si>
    <t>Current revision</t>
  </si>
  <si>
    <t>New revision</t>
  </si>
  <si>
    <t>Completion date</t>
  </si>
  <si>
    <t>Approval</t>
  </si>
  <si>
    <t>Customer submission?</t>
  </si>
  <si>
    <t>PFMEA</t>
  </si>
  <si>
    <t>Yes</t>
  </si>
  <si>
    <t>Control Plan</t>
  </si>
  <si>
    <t>Work Instruction</t>
  </si>
  <si>
    <t>Inspection Standard</t>
  </si>
  <si>
    <t>Training / Competence</t>
  </si>
  <si>
    <t>Layered Process Audit</t>
  </si>
  <si>
    <t>APQP / PPAP record</t>
  </si>
  <si>
    <t>HORIZONTAL DEPLOYMENT / YOKOTEN</t>
  </si>
  <si>
    <t>Site / line / product</t>
  </si>
  <si>
    <t>Applicability</t>
  </si>
  <si>
    <t>Risk reviewed</t>
  </si>
  <si>
    <t>Action required</t>
  </si>
  <si>
    <t>Effectiveness checked</t>
  </si>
  <si>
    <t>Check date</t>
  </si>
  <si>
    <t>LESSONS LEARNED &amp; CLOSURE</t>
  </si>
  <si>
    <t>What went well?</t>
  </si>
  <si>
    <t>What failed or was delayed?</t>
  </si>
  <si>
    <t>What evidence changed our thinking?</t>
  </si>
  <si>
    <t>What should be reused?</t>
  </si>
  <si>
    <t>What should be avoided?</t>
  </si>
  <si>
    <t>Coaching / capability lesson</t>
  </si>
  <si>
    <t>Customer communication lesson</t>
  </si>
  <si>
    <t>Final closure rationale</t>
  </si>
  <si>
    <t>LISTS &amp; SETTINGS</t>
  </si>
  <si>
    <t>Yes/No</t>
  </si>
  <si>
    <t>Cause Type</t>
  </si>
  <si>
    <t>Guidance</t>
  </si>
  <si>
    <t>Critical</t>
  </si>
  <si>
    <t>Red</t>
  </si>
  <si>
    <t>Yellow cells are user inputs; blue/gray cells are calculated or instructional.</t>
  </si>
  <si>
    <t>In Progress</t>
  </si>
  <si>
    <t>High</t>
  </si>
  <si>
    <t>Amber</t>
  </si>
  <si>
    <t>Under Review</t>
  </si>
  <si>
    <t>Dates use ISO display (yyyy-mm-dd).</t>
  </si>
  <si>
    <t>Blocked</t>
  </si>
  <si>
    <t>Green</t>
  </si>
  <si>
    <t>Verified</t>
  </si>
  <si>
    <t>Approved</t>
  </si>
  <si>
    <t>Enter facts and evidence; avoid conclusions in the problem statement.</t>
  </si>
  <si>
    <t>Complete</t>
  </si>
  <si>
    <t>Low</t>
  </si>
  <si>
    <t>Rejected</t>
  </si>
  <si>
    <t>Direct</t>
  </si>
  <si>
    <t>No macros are used. Formulas and validation remain auditable.</t>
  </si>
  <si>
    <t>Cancelled</t>
  </si>
  <si>
    <t>Contributing</t>
  </si>
  <si>
    <t>Update PFMEA, Control Plan and work instructions when the verified cause affects risk controls.</t>
  </si>
  <si>
    <t>Hazırlayan</t>
  </si>
  <si>
    <t>Onaylayan</t>
  </si>
  <si>
    <t>Kontrol Eden</t>
  </si>
  <si>
    <t>Kanıt / Kaynak</t>
  </si>
  <si>
    <t>Alt Problem</t>
  </si>
  <si>
    <t>Etki</t>
  </si>
  <si>
    <t>ADIM 4 — KÖK NEDEN ANALİZİ</t>
  </si>
  <si>
    <t>ADIM 1 — PROBLEM TANIMI</t>
  </si>
  <si>
    <t>ADIM 3 — HEDEF BELİRLEME</t>
  </si>
  <si>
    <t>ADIM 5 — UYGULAMA PLANI</t>
  </si>
  <si>
    <t>ADIM 6 — ÇÖZÜMLERİ UYGULAMA</t>
  </si>
  <si>
    <t>ADIM 7 — SONUÇLARI İZLEME</t>
  </si>
  <si>
    <t>ADIM 8 — STANDARDİZASYON / KURUMSALLAŞTIRMA</t>
  </si>
  <si>
    <t>İmza</t>
  </si>
  <si>
    <t>PPS / 8 ADIMLI A3 PROBLEM ÇÖZME FORMATI</t>
  </si>
  <si>
    <t>ADIM 2 — PROBLEMİ PARÇALARA AYIRMA</t>
  </si>
  <si>
    <t>Sorun / Sapma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</si>
</sst>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1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7"/>
      <color rgb="FFFFFFFF"/>
      <name val="Carlito"/>
    </font>
    <font>
      <i/>
      <sz val="9"/>
      <color rgb="FF404040"/>
      <name val="Carlito"/>
    </font>
    <font>
      <b/>
      <sz val="7"/>
      <color rgb="FF404040"/>
      <name val="Carlito"/>
    </font>
    <font>
      <b/>
      <sz val="10"/>
      <color rgb="FFFFFFFF"/>
      <name val="Carlito"/>
    </font>
    <font>
      <b/>
      <sz val="8"/>
      <color rgb="FF404040"/>
      <name val="Carlito"/>
    </font>
    <font>
      <b/>
      <sz val="11"/>
      <color rgb="FF404040"/>
      <name val="Carlito"/>
    </font>
    <font>
      <sz val="10"/>
      <color rgb="FF000000"/>
      <name val="Tahoma"/>
      <family val="2"/>
      <charset val="162"/>
    </font>
    <font>
      <sz val="10"/>
      <color rgb="FF000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FFF9E6"/>
      </patternFill>
    </fill>
    <fill>
      <patternFill patternType="solid">
        <fgColor rgb="FFD9E2F3"/>
      </patternFill>
    </fill>
    <fill>
      <patternFill patternType="solid">
        <fgColor rgb="FF0F6B78"/>
      </patternFill>
    </fill>
    <fill>
      <patternFill patternType="solid">
        <fgColor rgb="FF70AD47"/>
      </patternFill>
    </fill>
    <fill>
      <patternFill patternType="solid">
        <fgColor rgb="FFFFF9E6"/>
        <bgColor rgb="FF000000"/>
      </patternFill>
    </fill>
  </fills>
  <borders count="16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dashed">
        <color rgb="FF7F7F7F"/>
      </left>
      <right style="dashed">
        <color rgb="FF7F7F7F"/>
      </right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 style="dashed">
        <color rgb="FF7F7F7F"/>
      </right>
      <top/>
      <bottom style="thin">
        <color rgb="FFB7C9D6"/>
      </bottom>
      <diagonal/>
    </border>
    <border>
      <left/>
      <right style="dashed">
        <color rgb="FF7F7F7F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164" fontId="0" fillId="6" borderId="1" xfId="0" applyNumberFormat="1" applyFill="1" applyBorder="1" applyAlignment="1">
      <alignment vertical="top" wrapText="1"/>
    </xf>
    <xf numFmtId="165" fontId="0" fillId="6" borderId="1" xfId="0" applyNumberFormat="1" applyFill="1" applyBorder="1" applyAlignment="1">
      <alignment vertical="top" wrapText="1"/>
    </xf>
    <xf numFmtId="9" fontId="0" fillId="6" borderId="1" xfId="0" applyNumberFormat="1" applyFill="1" applyBorder="1" applyAlignment="1">
      <alignment vertical="top" wrapText="1"/>
    </xf>
    <xf numFmtId="1" fontId="0" fillId="0" borderId="0" xfId="0" applyNumberFormat="1"/>
    <xf numFmtId="165" fontId="0" fillId="0" borderId="0" xfId="0" applyNumberFormat="1"/>
    <xf numFmtId="0" fontId="8" fillId="6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0" fontId="0" fillId="6" borderId="1" xfId="0" applyFill="1" applyBorder="1" applyAlignment="1">
      <alignment vertical="center" wrapText="1"/>
    </xf>
    <xf numFmtId="164" fontId="0" fillId="6" borderId="1" xfId="0" applyNumberFormat="1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6" fillId="8" borderId="0" xfId="0" applyFont="1" applyFill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4" fillId="4" borderId="0" xfId="0" applyFont="1" applyFill="1" applyAlignment="1">
      <alignment wrapText="1"/>
    </xf>
    <xf numFmtId="0" fontId="0" fillId="6" borderId="6" xfId="0" applyFill="1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0" fillId="6" borderId="8" xfId="0" applyFill="1" applyBorder="1" applyAlignment="1">
      <alignment vertical="top" wrapText="1"/>
    </xf>
    <xf numFmtId="0" fontId="0" fillId="6" borderId="9" xfId="0" applyFill="1" applyBorder="1" applyAlignment="1">
      <alignment vertical="top" wrapText="1"/>
    </xf>
    <xf numFmtId="0" fontId="0" fillId="6" borderId="0" xfId="0" applyFill="1" applyBorder="1" applyAlignment="1">
      <alignment vertical="top" wrapText="1"/>
    </xf>
    <xf numFmtId="0" fontId="0" fillId="6" borderId="10" xfId="0" applyFill="1" applyBorder="1" applyAlignment="1">
      <alignment vertical="top" wrapText="1"/>
    </xf>
    <xf numFmtId="0" fontId="0" fillId="6" borderId="11" xfId="0" applyFill="1" applyBorder="1" applyAlignment="1">
      <alignment vertical="top" wrapText="1"/>
    </xf>
    <xf numFmtId="0" fontId="0" fillId="6" borderId="12" xfId="0" applyFill="1" applyBorder="1" applyAlignment="1">
      <alignment vertical="top" wrapText="1"/>
    </xf>
    <xf numFmtId="0" fontId="0" fillId="6" borderId="13" xfId="0" applyFill="1" applyBorder="1" applyAlignment="1">
      <alignment vertical="top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0" fillId="6" borderId="8" xfId="0" applyFill="1" applyBorder="1" applyAlignment="1">
      <alignment vertical="top" wrapText="1"/>
    </xf>
    <xf numFmtId="0" fontId="0" fillId="6" borderId="9" xfId="0" applyFill="1" applyBorder="1" applyAlignment="1">
      <alignment vertical="top" wrapText="1"/>
    </xf>
    <xf numFmtId="0" fontId="0" fillId="6" borderId="0" xfId="0" applyFill="1" applyBorder="1" applyAlignment="1">
      <alignment vertical="top" wrapText="1"/>
    </xf>
    <xf numFmtId="0" fontId="0" fillId="6" borderId="10" xfId="0" applyFill="1" applyBorder="1" applyAlignment="1">
      <alignment vertical="top" wrapText="1"/>
    </xf>
    <xf numFmtId="0" fontId="0" fillId="6" borderId="11" xfId="0" applyFill="1" applyBorder="1" applyAlignment="1">
      <alignment vertical="top" wrapText="1"/>
    </xf>
    <xf numFmtId="0" fontId="0" fillId="6" borderId="12" xfId="0" applyFill="1" applyBorder="1" applyAlignment="1">
      <alignment vertical="top" wrapText="1"/>
    </xf>
    <xf numFmtId="0" fontId="0" fillId="6" borderId="13" xfId="0" applyFill="1" applyBorder="1" applyAlignment="1">
      <alignment vertical="top" wrapText="1"/>
    </xf>
    <xf numFmtId="0" fontId="6" fillId="3" borderId="12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 wrapText="1"/>
    </xf>
    <xf numFmtId="0" fontId="0" fillId="6" borderId="3" xfId="0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0" fillId="6" borderId="5" xfId="0" applyFill="1" applyBorder="1" applyAlignment="1">
      <alignment horizontal="left" vertical="top" wrapText="1"/>
    </xf>
    <xf numFmtId="0" fontId="0" fillId="6" borderId="3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0" fillId="0" borderId="0" xfId="0" applyAlignment="1">
      <alignment vertical="center"/>
    </xf>
    <xf numFmtId="0" fontId="6" fillId="3" borderId="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left" vertical="center" wrapText="1"/>
    </xf>
    <xf numFmtId="164" fontId="0" fillId="6" borderId="3" xfId="0" applyNumberFormat="1" applyFill="1" applyBorder="1" applyAlignment="1">
      <alignment horizontal="center" vertical="top" wrapText="1"/>
    </xf>
    <xf numFmtId="164" fontId="0" fillId="6" borderId="5" xfId="0" applyNumberFormat="1" applyFill="1" applyBorder="1" applyAlignment="1">
      <alignment horizontal="center" vertical="top" wrapText="1"/>
    </xf>
    <xf numFmtId="0" fontId="0" fillId="10" borderId="3" xfId="0" applyFill="1" applyBorder="1" applyAlignment="1">
      <alignment vertical="top" wrapText="1"/>
    </xf>
    <xf numFmtId="0" fontId="0" fillId="10" borderId="5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vertical="top" wrapText="1"/>
    </xf>
    <xf numFmtId="164" fontId="0" fillId="6" borderId="5" xfId="0" applyNumberFormat="1" applyFill="1" applyBorder="1" applyAlignment="1">
      <alignment vertical="top" wrapText="1"/>
    </xf>
  </cellXfs>
  <cellStyles count="1">
    <cellStyle name="Normal" xfId="0" builtinId="0"/>
  </cellStyles>
  <dxfs count="8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FFFFFF"/>
      </font>
      <fill>
        <patternFill patternType="solid">
          <bgColor rgb="FF70AD47"/>
        </patternFill>
      </fill>
    </dxf>
    <dxf>
      <font>
        <b/>
      </font>
      <fill>
        <patternFill patternType="solid">
          <bgColor rgb="FFFFC000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ont>
        <b/>
        <color rgb="FFFFFFFF"/>
      </font>
      <fill>
        <patternFill patternType="solid">
          <bgColor rgb="FF70AD47"/>
        </patternFill>
      </fill>
    </dxf>
    <dxf>
      <font>
        <b/>
      </font>
      <fill>
        <patternFill patternType="solid">
          <bgColor rgb="FFFFC000"/>
        </patternFill>
      </fill>
    </dxf>
    <dxf>
      <font>
        <b/>
        <color rgb="FFFFFFFF"/>
      </font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Actual vs Target KPI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KPI</c:v>
          </c:tx>
          <c:marker>
            <c:symbol val="none"/>
          </c:marker>
          <c:cat>
            <c:numRef>
              <c:f>'Data Analysis'!$A$4:$A$27</c:f>
              <c:numCache>
                <c:formatCode>yyyy\-mm\-dd</c:formatCode>
                <c:ptCount val="24"/>
              </c:numCache>
            </c:numRef>
          </c:cat>
          <c:val>
            <c:numRef>
              <c:f>'Data Analysis'!$B$4:$B$27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01-4E4D-BA47-D1554E853F3E}"/>
            </c:ext>
          </c:extLst>
        </c:ser>
        <c:ser>
          <c:idx val="1"/>
          <c:order val="1"/>
          <c:tx>
            <c:v>Actual</c:v>
          </c:tx>
          <c:marker>
            <c:symbol val="none"/>
          </c:marker>
          <c:cat>
            <c:numRef>
              <c:f>'Data Analysis'!$A$4:$A$27</c:f>
              <c:numCache>
                <c:formatCode>yyyy\-mm\-dd</c:formatCode>
                <c:ptCount val="24"/>
              </c:numCache>
            </c:numRef>
          </c:cat>
          <c:val>
            <c:numRef>
              <c:f>'Data Analysis'!$C$4:$C$27</c:f>
              <c:numCache>
                <c:formatCode>General</c:formatCode>
                <c:ptCount val="2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01-4E4D-BA47-D1554E853F3E}"/>
            </c:ext>
          </c:extLst>
        </c:ser>
        <c:ser>
          <c:idx val="2"/>
          <c:order val="2"/>
          <c:tx>
            <c:v>Target</c:v>
          </c:tx>
          <c:marker>
            <c:symbol val="none"/>
          </c:marker>
          <c:cat>
            <c:numRef>
              <c:f>'Data Analysis'!$A$4:$A$27</c:f>
              <c:numCache>
                <c:formatCode>yyyy\-mm\-dd</c:formatCode>
                <c:ptCount val="24"/>
              </c:numCache>
            </c:numRef>
          </c:cat>
          <c:val>
            <c:numRef>
              <c:f>'Data Analysis'!$D$4:$D$27</c:f>
              <c:numCache>
                <c:formatCode>General</c:formatCode>
                <c:ptCount val="2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C01-4E4D-BA47-D1554E853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tr-T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t>Before / Target / After / Sustain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invertIfNegative val="1"/>
          <c:cat>
            <c:strRef>
              <c:f>'Effectiveness Check'!$A$27:$A$31</c:f>
              <c:strCache>
                <c:ptCount val="5"/>
                <c:pt idx="0">
                  <c:v>Primary KPI</c:v>
                </c:pt>
                <c:pt idx="1">
                  <c:v>Secondary KPI 1</c:v>
                </c:pt>
                <c:pt idx="2">
                  <c:v>Secondary KPI 2</c:v>
                </c:pt>
                <c:pt idx="3">
                  <c:v>Customer escapes</c:v>
                </c:pt>
                <c:pt idx="4">
                  <c:v>Scrap / rework</c:v>
                </c:pt>
              </c:strCache>
            </c:strRef>
          </c:cat>
          <c:val>
            <c:numRef>
              <c:f>'Effectiveness Check'!$B$27:$B$31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8-6444-9C26-F5B871A0AFB7}"/>
            </c:ext>
          </c:extLst>
        </c:ser>
        <c:ser>
          <c:idx val="1"/>
          <c:order val="1"/>
          <c:tx>
            <c:v>Target</c:v>
          </c:tx>
          <c:invertIfNegative val="1"/>
          <c:cat>
            <c:strRef>
              <c:f>'Effectiveness Check'!$A$27:$A$31</c:f>
              <c:strCache>
                <c:ptCount val="5"/>
                <c:pt idx="0">
                  <c:v>Primary KPI</c:v>
                </c:pt>
                <c:pt idx="1">
                  <c:v>Secondary KPI 1</c:v>
                </c:pt>
                <c:pt idx="2">
                  <c:v>Secondary KPI 2</c:v>
                </c:pt>
                <c:pt idx="3">
                  <c:v>Customer escapes</c:v>
                </c:pt>
                <c:pt idx="4">
                  <c:v>Scrap / rework</c:v>
                </c:pt>
              </c:strCache>
            </c:strRef>
          </c:cat>
          <c:val>
            <c:numRef>
              <c:f>'Effectiveness Check'!$C$27:$C$31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8-6444-9C26-F5B871A0AFB7}"/>
            </c:ext>
          </c:extLst>
        </c:ser>
        <c:ser>
          <c:idx val="2"/>
          <c:order val="2"/>
          <c:tx>
            <c:v>Post-action</c:v>
          </c:tx>
          <c:invertIfNegative val="1"/>
          <c:cat>
            <c:strRef>
              <c:f>'Effectiveness Check'!$A$27:$A$31</c:f>
              <c:strCache>
                <c:ptCount val="5"/>
                <c:pt idx="0">
                  <c:v>Primary KPI</c:v>
                </c:pt>
                <c:pt idx="1">
                  <c:v>Secondary KPI 1</c:v>
                </c:pt>
                <c:pt idx="2">
                  <c:v>Secondary KPI 2</c:v>
                </c:pt>
                <c:pt idx="3">
                  <c:v>Customer escapes</c:v>
                </c:pt>
                <c:pt idx="4">
                  <c:v>Scrap / rework</c:v>
                </c:pt>
              </c:strCache>
            </c:strRef>
          </c:cat>
          <c:val>
            <c:numRef>
              <c:f>'Effectiveness Check'!$D$27:$D$31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08-6444-9C26-F5B871A0AFB7}"/>
            </c:ext>
          </c:extLst>
        </c:ser>
        <c:ser>
          <c:idx val="3"/>
          <c:order val="3"/>
          <c:tx>
            <c:v>Sustain</c:v>
          </c:tx>
          <c:invertIfNegative val="1"/>
          <c:cat>
            <c:strRef>
              <c:f>'Effectiveness Check'!$A$27:$A$31</c:f>
              <c:strCache>
                <c:ptCount val="5"/>
                <c:pt idx="0">
                  <c:v>Primary KPI</c:v>
                </c:pt>
                <c:pt idx="1">
                  <c:v>Secondary KPI 1</c:v>
                </c:pt>
                <c:pt idx="2">
                  <c:v>Secondary KPI 2</c:v>
                </c:pt>
                <c:pt idx="3">
                  <c:v>Customer escapes</c:v>
                </c:pt>
                <c:pt idx="4">
                  <c:v>Scrap / rework</c:v>
                </c:pt>
              </c:strCache>
            </c:strRef>
          </c:cat>
          <c:val>
            <c:numRef>
              <c:f>'Effectiveness Check'!$E$27:$E$31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08-6444-9C26-F5B871A0A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368300</xdr:colOff>
      <xdr:row>57</xdr:row>
      <xdr:rowOff>88900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8953C22D-CAFB-CAD5-7B93-1966D20A414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12</xdr:col>
      <xdr:colOff>0</xdr:colOff>
      <xdr:row>49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889000</xdr:colOff>
      <xdr:row>67</xdr:row>
      <xdr:rowOff>38100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16755C68-1EA8-5BDD-B2CC-0E3E94C2C93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BA262596-C153-47E0-9AF8-9096B1B07283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" dT="2026-08-05T18:38:05.97" personId="{BA262596-C153-47E0-9AF8-9096B1B07283}" id="{2A4FA74A-F399-3533-658A-75D2937F9160}">
    <text>RAG is formula-driven: blocked or overdue = Red; due within three days = Amber; otherwise Green; completed = Green.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Y45"/>
  <sheetViews>
    <sheetView showGridLines="0" tabSelected="1" zoomScaleNormal="100" workbookViewId="0">
      <selection activeCell="S25" sqref="S25:T25"/>
    </sheetView>
  </sheetViews>
  <sheetFormatPr baseColWidth="10" defaultColWidth="8.83203125" defaultRowHeight="14"/>
  <cols>
    <col min="1" max="12" width="7.83203125" customWidth="1"/>
    <col min="13" max="13" width="1.83203125" customWidth="1"/>
    <col min="14" max="25" width="7.83203125" customWidth="1"/>
  </cols>
  <sheetData>
    <row r="1" spans="1:25" ht="28" customHeight="1">
      <c r="A1" s="15" t="s">
        <v>317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  <c r="K1" s="15" t="s">
        <v>0</v>
      </c>
      <c r="L1" s="15" t="s">
        <v>0</v>
      </c>
      <c r="M1" s="16" t="s">
        <v>0</v>
      </c>
      <c r="N1" s="15" t="s">
        <v>0</v>
      </c>
      <c r="O1" s="15" t="s">
        <v>0</v>
      </c>
      <c r="P1" s="15" t="s">
        <v>0</v>
      </c>
      <c r="Q1" s="15" t="s">
        <v>0</v>
      </c>
      <c r="R1" s="15" t="s">
        <v>0</v>
      </c>
      <c r="S1" s="15" t="s">
        <v>0</v>
      </c>
      <c r="T1" s="15" t="s">
        <v>0</v>
      </c>
      <c r="U1" s="15" t="s">
        <v>0</v>
      </c>
      <c r="V1" s="15" t="s">
        <v>0</v>
      </c>
      <c r="W1" s="15" t="s">
        <v>0</v>
      </c>
      <c r="X1" s="15" t="s">
        <v>0</v>
      </c>
      <c r="Y1" s="15" t="s">
        <v>0</v>
      </c>
    </row>
    <row r="2" spans="1:25" ht="4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 ht="18" customHeight="1">
      <c r="A3" s="19" t="s">
        <v>1</v>
      </c>
      <c r="B3" s="19" t="s">
        <v>1</v>
      </c>
      <c r="C3" s="19" t="s">
        <v>1</v>
      </c>
      <c r="D3" s="19" t="s">
        <v>1</v>
      </c>
      <c r="E3" s="19" t="s">
        <v>1</v>
      </c>
      <c r="F3" s="19" t="s">
        <v>1</v>
      </c>
      <c r="G3" s="19" t="s">
        <v>1</v>
      </c>
      <c r="H3" s="19" t="s">
        <v>1</v>
      </c>
      <c r="I3" s="19" t="s">
        <v>1</v>
      </c>
      <c r="J3" s="19" t="s">
        <v>1</v>
      </c>
      <c r="K3" s="19" t="s">
        <v>1</v>
      </c>
      <c r="L3" s="19" t="s">
        <v>1</v>
      </c>
      <c r="M3" s="4" t="s">
        <v>2</v>
      </c>
      <c r="N3" s="19" t="s">
        <v>3</v>
      </c>
      <c r="O3" s="19" t="s">
        <v>3</v>
      </c>
      <c r="P3" s="19" t="s">
        <v>3</v>
      </c>
      <c r="Q3" s="19" t="s">
        <v>3</v>
      </c>
      <c r="R3" s="19" t="s">
        <v>3</v>
      </c>
      <c r="S3" s="19" t="s">
        <v>3</v>
      </c>
      <c r="T3" s="19" t="s">
        <v>3</v>
      </c>
      <c r="U3" s="19" t="s">
        <v>3</v>
      </c>
      <c r="V3" s="19" t="s">
        <v>3</v>
      </c>
      <c r="W3" s="19" t="s">
        <v>3</v>
      </c>
      <c r="X3" s="19" t="s">
        <v>3</v>
      </c>
      <c r="Y3" s="19" t="s">
        <v>3</v>
      </c>
    </row>
    <row r="4" spans="1:25" ht="24" customHeight="1">
      <c r="A4" s="5" t="s">
        <v>4</v>
      </c>
      <c r="B4" s="20"/>
      <c r="C4" s="20"/>
      <c r="D4" s="5" t="s">
        <v>5</v>
      </c>
      <c r="E4" s="20"/>
      <c r="F4" s="20"/>
      <c r="G4" s="20"/>
      <c r="H4" s="20"/>
      <c r="I4" s="20"/>
      <c r="J4" s="5" t="s">
        <v>6</v>
      </c>
      <c r="K4" s="20"/>
      <c r="L4" s="20"/>
      <c r="M4" s="3"/>
      <c r="N4" s="5" t="s">
        <v>7</v>
      </c>
      <c r="O4" s="20"/>
      <c r="P4" s="20"/>
      <c r="Q4" s="5" t="s">
        <v>8</v>
      </c>
      <c r="R4" s="20"/>
      <c r="S4" s="20"/>
      <c r="T4" s="20"/>
      <c r="U4" s="20"/>
      <c r="V4" s="20"/>
      <c r="W4" s="5" t="s">
        <v>9</v>
      </c>
      <c r="X4" s="20"/>
      <c r="Y4" s="20"/>
    </row>
    <row r="5" spans="1:25" ht="24" customHeight="1">
      <c r="A5" s="5" t="s">
        <v>10</v>
      </c>
      <c r="B5" s="20"/>
      <c r="C5" s="20"/>
      <c r="D5" s="5" t="s">
        <v>11</v>
      </c>
      <c r="E5" s="20"/>
      <c r="F5" s="20"/>
      <c r="G5" s="20"/>
      <c r="H5" s="20"/>
      <c r="I5" s="20"/>
      <c r="J5" s="5" t="s">
        <v>12</v>
      </c>
      <c r="K5" s="21"/>
      <c r="L5" s="21"/>
      <c r="M5" s="3"/>
      <c r="N5" s="5" t="s">
        <v>13</v>
      </c>
      <c r="O5" s="20"/>
      <c r="P5" s="20"/>
      <c r="Q5" s="5" t="s">
        <v>14</v>
      </c>
      <c r="R5" s="21"/>
      <c r="S5" s="21"/>
      <c r="T5" s="21"/>
      <c r="U5" s="21"/>
      <c r="V5" s="21"/>
      <c r="W5" s="5" t="s">
        <v>15</v>
      </c>
      <c r="X5" s="74"/>
      <c r="Y5" s="74"/>
    </row>
    <row r="6" spans="1:25" ht="5" customHeight="1">
      <c r="M6" s="3"/>
    </row>
    <row r="7" spans="1:25" ht="18" customHeight="1">
      <c r="A7" s="49" t="s">
        <v>310</v>
      </c>
      <c r="B7" s="49" t="s">
        <v>16</v>
      </c>
      <c r="C7" s="49" t="s">
        <v>16</v>
      </c>
      <c r="D7" s="49" t="s">
        <v>16</v>
      </c>
      <c r="E7" s="49" t="s">
        <v>16</v>
      </c>
      <c r="F7" s="49" t="s">
        <v>16</v>
      </c>
      <c r="G7" s="49" t="s">
        <v>16</v>
      </c>
      <c r="H7" s="49" t="s">
        <v>16</v>
      </c>
      <c r="I7" s="49" t="s">
        <v>16</v>
      </c>
      <c r="J7" s="49" t="s">
        <v>16</v>
      </c>
      <c r="K7" s="49" t="s">
        <v>16</v>
      </c>
      <c r="L7" s="50" t="s">
        <v>16</v>
      </c>
      <c r="M7" s="3"/>
      <c r="N7" s="24" t="s">
        <v>309</v>
      </c>
      <c r="O7" s="24" t="s">
        <v>17</v>
      </c>
      <c r="P7" s="24" t="s">
        <v>17</v>
      </c>
      <c r="Q7" s="24" t="s">
        <v>17</v>
      </c>
      <c r="R7" s="24" t="s">
        <v>17</v>
      </c>
      <c r="S7" s="24" t="s">
        <v>17</v>
      </c>
      <c r="T7" s="24" t="s">
        <v>17</v>
      </c>
      <c r="U7" s="24" t="s">
        <v>17</v>
      </c>
      <c r="V7" s="24" t="s">
        <v>17</v>
      </c>
      <c r="W7" s="24" t="s">
        <v>17</v>
      </c>
      <c r="X7" s="24" t="s">
        <v>17</v>
      </c>
      <c r="Y7" s="24" t="s">
        <v>17</v>
      </c>
    </row>
    <row r="8" spans="1:25" s="66" customFormat="1" ht="18" customHeight="1">
      <c r="A8" s="22" t="s">
        <v>18</v>
      </c>
      <c r="B8" s="22" t="s">
        <v>18</v>
      </c>
      <c r="C8" s="22" t="s">
        <v>18</v>
      </c>
      <c r="D8" s="22" t="s">
        <v>18</v>
      </c>
      <c r="E8" s="22" t="s">
        <v>18</v>
      </c>
      <c r="F8" s="22" t="s">
        <v>18</v>
      </c>
      <c r="G8" s="22" t="s">
        <v>19</v>
      </c>
      <c r="H8" s="22" t="s">
        <v>19</v>
      </c>
      <c r="I8" s="22" t="s">
        <v>19</v>
      </c>
      <c r="J8" s="22" t="s">
        <v>19</v>
      </c>
      <c r="K8" s="22" t="s">
        <v>19</v>
      </c>
      <c r="L8" s="22" t="s">
        <v>19</v>
      </c>
      <c r="M8" s="3"/>
      <c r="N8" s="28"/>
      <c r="O8" s="29"/>
      <c r="P8" s="29"/>
      <c r="Q8" s="29"/>
      <c r="R8" s="29"/>
      <c r="S8" s="29"/>
      <c r="T8" s="29"/>
      <c r="U8" s="29"/>
      <c r="V8" s="29"/>
      <c r="W8" s="29"/>
      <c r="X8" s="29"/>
      <c r="Y8" s="30"/>
    </row>
    <row r="9" spans="1:25" ht="18" customHeight="1">
      <c r="A9" s="28"/>
      <c r="B9" s="29"/>
      <c r="C9" s="29"/>
      <c r="D9" s="29"/>
      <c r="E9" s="29"/>
      <c r="F9" s="30"/>
      <c r="G9" s="28"/>
      <c r="H9" s="29"/>
      <c r="I9" s="29"/>
      <c r="J9" s="29"/>
      <c r="K9" s="29"/>
      <c r="L9" s="30"/>
      <c r="M9" s="3"/>
      <c r="N9" s="31"/>
      <c r="O9" s="32"/>
      <c r="P9" s="32"/>
      <c r="Q9" s="32"/>
      <c r="R9" s="32"/>
      <c r="S9" s="32"/>
      <c r="T9" s="32"/>
      <c r="U9" s="32"/>
      <c r="V9" s="32"/>
      <c r="W9" s="32"/>
      <c r="X9" s="32"/>
      <c r="Y9" s="33"/>
    </row>
    <row r="10" spans="1:25" ht="18" customHeight="1">
      <c r="A10" s="31"/>
      <c r="B10" s="32"/>
      <c r="C10" s="32"/>
      <c r="D10" s="32"/>
      <c r="E10" s="32"/>
      <c r="F10" s="33"/>
      <c r="G10" s="31"/>
      <c r="H10" s="32"/>
      <c r="I10" s="32"/>
      <c r="J10" s="32"/>
      <c r="K10" s="32"/>
      <c r="L10" s="33"/>
      <c r="M10" s="3"/>
      <c r="N10" s="31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3"/>
    </row>
    <row r="11" spans="1:25" ht="18" customHeight="1">
      <c r="A11" s="31"/>
      <c r="B11" s="32"/>
      <c r="C11" s="32"/>
      <c r="D11" s="32"/>
      <c r="E11" s="32"/>
      <c r="F11" s="33"/>
      <c r="G11" s="31"/>
      <c r="H11" s="32"/>
      <c r="I11" s="32"/>
      <c r="J11" s="32"/>
      <c r="K11" s="32"/>
      <c r="L11" s="33"/>
      <c r="M11" s="3"/>
      <c r="N11" s="31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3"/>
    </row>
    <row r="12" spans="1:25" ht="18" customHeight="1">
      <c r="A12" s="31"/>
      <c r="B12" s="32"/>
      <c r="C12" s="32"/>
      <c r="D12" s="32"/>
      <c r="E12" s="32"/>
      <c r="F12" s="33"/>
      <c r="G12" s="31"/>
      <c r="H12" s="32"/>
      <c r="I12" s="32"/>
      <c r="J12" s="32"/>
      <c r="K12" s="32"/>
      <c r="L12" s="33"/>
      <c r="M12" s="3"/>
      <c r="N12" s="31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3"/>
    </row>
    <row r="13" spans="1:25" ht="18" customHeight="1">
      <c r="A13" s="31"/>
      <c r="B13" s="32"/>
      <c r="C13" s="32"/>
      <c r="D13" s="32"/>
      <c r="E13" s="32"/>
      <c r="F13" s="33"/>
      <c r="G13" s="31"/>
      <c r="H13" s="32"/>
      <c r="I13" s="32"/>
      <c r="J13" s="32"/>
      <c r="K13" s="32"/>
      <c r="L13" s="33"/>
      <c r="M13" s="3"/>
      <c r="N13" s="31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3"/>
    </row>
    <row r="14" spans="1:25" ht="18" customHeight="1">
      <c r="A14" s="31"/>
      <c r="B14" s="32"/>
      <c r="C14" s="32"/>
      <c r="D14" s="32"/>
      <c r="E14" s="32"/>
      <c r="F14" s="33"/>
      <c r="G14" s="31"/>
      <c r="H14" s="32"/>
      <c r="I14" s="32"/>
      <c r="J14" s="32"/>
      <c r="K14" s="32"/>
      <c r="L14" s="33"/>
      <c r="M14" s="3"/>
      <c r="N14" s="31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3"/>
    </row>
    <row r="15" spans="1:25" ht="18" customHeight="1">
      <c r="A15" s="31"/>
      <c r="B15" s="32"/>
      <c r="C15" s="32"/>
      <c r="D15" s="32"/>
      <c r="E15" s="32"/>
      <c r="F15" s="33"/>
      <c r="G15" s="31"/>
      <c r="H15" s="32"/>
      <c r="I15" s="32"/>
      <c r="J15" s="32"/>
      <c r="K15" s="32"/>
      <c r="L15" s="33"/>
      <c r="M15" s="3"/>
      <c r="N15" s="31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3"/>
    </row>
    <row r="16" spans="1:25" ht="18" customHeight="1">
      <c r="A16" s="67" t="s">
        <v>318</v>
      </c>
      <c r="B16" s="67" t="s">
        <v>21</v>
      </c>
      <c r="C16" s="67" t="s">
        <v>21</v>
      </c>
      <c r="D16" s="67" t="s">
        <v>21</v>
      </c>
      <c r="E16" s="67" t="s">
        <v>21</v>
      </c>
      <c r="F16" s="67" t="s">
        <v>21</v>
      </c>
      <c r="G16" s="67" t="s">
        <v>21</v>
      </c>
      <c r="H16" s="67" t="s">
        <v>21</v>
      </c>
      <c r="I16" s="67" t="s">
        <v>21</v>
      </c>
      <c r="J16" s="67" t="s">
        <v>21</v>
      </c>
      <c r="K16" s="67" t="s">
        <v>21</v>
      </c>
      <c r="L16" s="68" t="s">
        <v>21</v>
      </c>
      <c r="M16" s="3"/>
      <c r="N16" s="31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3"/>
    </row>
    <row r="17" spans="1:25" ht="18" customHeight="1">
      <c r="A17" s="22" t="s">
        <v>28</v>
      </c>
      <c r="B17" s="22" t="s">
        <v>28</v>
      </c>
      <c r="C17" s="22" t="s">
        <v>28</v>
      </c>
      <c r="D17" s="22" t="s">
        <v>28</v>
      </c>
      <c r="E17" s="22" t="s">
        <v>28</v>
      </c>
      <c r="F17" s="22" t="s">
        <v>28</v>
      </c>
      <c r="G17" s="22" t="s">
        <v>29</v>
      </c>
      <c r="H17" s="22" t="s">
        <v>29</v>
      </c>
      <c r="I17" s="22" t="s">
        <v>29</v>
      </c>
      <c r="J17" s="22" t="s">
        <v>29</v>
      </c>
      <c r="K17" s="22" t="s">
        <v>29</v>
      </c>
      <c r="L17" s="22" t="s">
        <v>29</v>
      </c>
      <c r="M17" s="3"/>
      <c r="N17" s="31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1:25" ht="18" customHeight="1">
      <c r="A18" s="28"/>
      <c r="B18" s="29"/>
      <c r="C18" s="29"/>
      <c r="D18" s="29"/>
      <c r="E18" s="29"/>
      <c r="F18" s="30"/>
      <c r="G18" s="40"/>
      <c r="H18" s="41"/>
      <c r="I18" s="41"/>
      <c r="J18" s="41"/>
      <c r="K18" s="41"/>
      <c r="L18" s="42"/>
      <c r="M18" s="3"/>
      <c r="N18" s="31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3"/>
    </row>
    <row r="19" spans="1:25" ht="18" customHeight="1">
      <c r="A19" s="31"/>
      <c r="B19" s="32"/>
      <c r="C19" s="32"/>
      <c r="D19" s="32"/>
      <c r="E19" s="32"/>
      <c r="F19" s="33"/>
      <c r="G19" s="43"/>
      <c r="H19" s="44"/>
      <c r="I19" s="44"/>
      <c r="J19" s="44"/>
      <c r="K19" s="44"/>
      <c r="L19" s="45"/>
      <c r="M19" s="3"/>
      <c r="N19" s="31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3"/>
    </row>
    <row r="20" spans="1:25" ht="18" customHeight="1">
      <c r="A20" s="31"/>
      <c r="B20" s="32"/>
      <c r="C20" s="32"/>
      <c r="D20" s="32"/>
      <c r="E20" s="32"/>
      <c r="F20" s="33"/>
      <c r="G20" s="43"/>
      <c r="H20" s="44"/>
      <c r="I20" s="44"/>
      <c r="J20" s="44"/>
      <c r="K20" s="44"/>
      <c r="L20" s="45"/>
      <c r="M20" s="3"/>
      <c r="N20" s="34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6"/>
    </row>
    <row r="21" spans="1:25" ht="18" customHeight="1">
      <c r="A21" s="31"/>
      <c r="B21" s="32"/>
      <c r="C21" s="32"/>
      <c r="D21" s="32"/>
      <c r="E21" s="32"/>
      <c r="F21" s="33"/>
      <c r="G21" s="43"/>
      <c r="H21" s="44"/>
      <c r="I21" s="44"/>
      <c r="J21" s="44"/>
      <c r="K21" s="44"/>
      <c r="L21" s="45"/>
      <c r="M21" s="3"/>
      <c r="N21" s="24" t="s">
        <v>312</v>
      </c>
      <c r="O21" s="24" t="s">
        <v>20</v>
      </c>
      <c r="P21" s="24" t="s">
        <v>20</v>
      </c>
      <c r="Q21" s="24" t="s">
        <v>20</v>
      </c>
      <c r="R21" s="24" t="s">
        <v>20</v>
      </c>
      <c r="S21" s="24" t="s">
        <v>20</v>
      </c>
      <c r="T21" s="24" t="s">
        <v>20</v>
      </c>
      <c r="U21" s="24" t="s">
        <v>20</v>
      </c>
      <c r="V21" s="24" t="s">
        <v>20</v>
      </c>
      <c r="W21" s="24" t="s">
        <v>20</v>
      </c>
      <c r="X21" s="24" t="s">
        <v>20</v>
      </c>
      <c r="Y21" s="24" t="s">
        <v>20</v>
      </c>
    </row>
    <row r="22" spans="1:25" ht="18" customHeight="1">
      <c r="A22" s="31"/>
      <c r="B22" s="32"/>
      <c r="C22" s="32"/>
      <c r="D22" s="32"/>
      <c r="E22" s="32"/>
      <c r="F22" s="33"/>
      <c r="G22" s="43"/>
      <c r="H22" s="44"/>
      <c r="I22" s="44"/>
      <c r="J22" s="44"/>
      <c r="K22" s="44"/>
      <c r="L22" s="45"/>
      <c r="M22" s="3"/>
      <c r="N22" s="7" t="s">
        <v>22</v>
      </c>
      <c r="O22" s="22" t="s">
        <v>23</v>
      </c>
      <c r="P22" s="22" t="s">
        <v>23</v>
      </c>
      <c r="Q22" s="22" t="s">
        <v>23</v>
      </c>
      <c r="R22" s="22" t="s">
        <v>23</v>
      </c>
      <c r="S22" s="22" t="s">
        <v>24</v>
      </c>
      <c r="T22" s="22" t="s">
        <v>24</v>
      </c>
      <c r="U22" s="22" t="s">
        <v>25</v>
      </c>
      <c r="V22" s="22" t="s">
        <v>25</v>
      </c>
      <c r="W22" s="22" t="s">
        <v>26</v>
      </c>
      <c r="X22" s="22" t="s">
        <v>26</v>
      </c>
      <c r="Y22" s="22" t="s">
        <v>26</v>
      </c>
    </row>
    <row r="23" spans="1:25" ht="18" customHeight="1">
      <c r="A23" s="31"/>
      <c r="B23" s="32"/>
      <c r="C23" s="32"/>
      <c r="D23" s="32"/>
      <c r="E23" s="32"/>
      <c r="F23" s="33"/>
      <c r="G23" s="43"/>
      <c r="H23" s="44"/>
      <c r="I23" s="44"/>
      <c r="J23" s="44"/>
      <c r="K23" s="44"/>
      <c r="L23" s="45"/>
      <c r="M23" s="3"/>
      <c r="N23" s="6"/>
      <c r="O23" s="54"/>
      <c r="P23" s="55"/>
      <c r="Q23" s="55"/>
      <c r="R23" s="56"/>
      <c r="S23" s="54"/>
      <c r="T23" s="56"/>
      <c r="U23" s="54"/>
      <c r="V23" s="56"/>
      <c r="W23" s="54"/>
      <c r="X23" s="55"/>
      <c r="Y23" s="56"/>
    </row>
    <row r="24" spans="1:25" ht="18" customHeight="1">
      <c r="A24" s="31"/>
      <c r="B24" s="32"/>
      <c r="C24" s="32"/>
      <c r="D24" s="32"/>
      <c r="E24" s="32"/>
      <c r="F24" s="33"/>
      <c r="G24" s="43"/>
      <c r="H24" s="44"/>
      <c r="I24" s="44"/>
      <c r="J24" s="44"/>
      <c r="K24" s="44"/>
      <c r="L24" s="45"/>
      <c r="M24" s="3"/>
      <c r="N24" s="6"/>
      <c r="O24" s="54"/>
      <c r="P24" s="55"/>
      <c r="Q24" s="55"/>
      <c r="R24" s="56"/>
      <c r="S24" s="54"/>
      <c r="T24" s="56"/>
      <c r="U24" s="54"/>
      <c r="V24" s="56"/>
      <c r="W24" s="54"/>
      <c r="X24" s="55"/>
      <c r="Y24" s="56"/>
    </row>
    <row r="25" spans="1:25" ht="18" customHeight="1">
      <c r="A25" s="31"/>
      <c r="B25" s="32"/>
      <c r="C25" s="32"/>
      <c r="D25" s="32"/>
      <c r="E25" s="32"/>
      <c r="F25" s="33"/>
      <c r="G25" s="43"/>
      <c r="H25" s="44"/>
      <c r="I25" s="44"/>
      <c r="J25" s="44"/>
      <c r="K25" s="44"/>
      <c r="L25" s="45"/>
      <c r="M25" s="3"/>
      <c r="N25" s="6"/>
      <c r="O25" s="54"/>
      <c r="P25" s="55"/>
      <c r="Q25" s="55"/>
      <c r="R25" s="56"/>
      <c r="S25" s="54"/>
      <c r="T25" s="56"/>
      <c r="U25" s="54"/>
      <c r="V25" s="56"/>
      <c r="W25" s="54"/>
      <c r="X25" s="55"/>
      <c r="Y25" s="56"/>
    </row>
    <row r="26" spans="1:25" ht="18" customHeight="1">
      <c r="A26" s="31"/>
      <c r="B26" s="32"/>
      <c r="C26" s="32"/>
      <c r="D26" s="32"/>
      <c r="E26" s="32"/>
      <c r="F26" s="33"/>
      <c r="G26" s="43"/>
      <c r="H26" s="44"/>
      <c r="I26" s="44"/>
      <c r="J26" s="44"/>
      <c r="K26" s="44"/>
      <c r="L26" s="45"/>
      <c r="M26" s="3"/>
      <c r="N26" s="6"/>
      <c r="O26" s="54"/>
      <c r="P26" s="55"/>
      <c r="Q26" s="55"/>
      <c r="R26" s="56"/>
      <c r="S26" s="54"/>
      <c r="T26" s="56"/>
      <c r="U26" s="54"/>
      <c r="V26" s="56"/>
      <c r="W26" s="54"/>
      <c r="X26" s="55"/>
      <c r="Y26" s="56"/>
    </row>
    <row r="27" spans="1:25" ht="18" customHeight="1">
      <c r="A27" s="31"/>
      <c r="B27" s="32"/>
      <c r="C27" s="32"/>
      <c r="D27" s="32"/>
      <c r="E27" s="32"/>
      <c r="F27" s="33"/>
      <c r="G27" s="43"/>
      <c r="H27" s="44"/>
      <c r="I27" s="44"/>
      <c r="J27" s="44"/>
      <c r="K27" s="44"/>
      <c r="L27" s="45"/>
      <c r="M27" s="3"/>
      <c r="N27" s="24" t="s">
        <v>313</v>
      </c>
      <c r="O27" s="24" t="s">
        <v>27</v>
      </c>
      <c r="P27" s="24" t="s">
        <v>27</v>
      </c>
      <c r="Q27" s="24" t="s">
        <v>27</v>
      </c>
      <c r="R27" s="24" t="s">
        <v>27</v>
      </c>
      <c r="S27" s="24" t="s">
        <v>27</v>
      </c>
      <c r="T27" s="24" t="s">
        <v>27</v>
      </c>
      <c r="U27" s="24" t="s">
        <v>27</v>
      </c>
      <c r="V27" s="24" t="s">
        <v>27</v>
      </c>
      <c r="W27" s="24" t="s">
        <v>27</v>
      </c>
      <c r="X27" s="24" t="s">
        <v>27</v>
      </c>
      <c r="Y27" s="24" t="s">
        <v>27</v>
      </c>
    </row>
    <row r="28" spans="1:25" ht="19" customHeight="1">
      <c r="A28" s="31"/>
      <c r="B28" s="32"/>
      <c r="C28" s="32"/>
      <c r="D28" s="32"/>
      <c r="E28" s="32"/>
      <c r="F28" s="33"/>
      <c r="G28" s="43"/>
      <c r="H28" s="44"/>
      <c r="I28" s="44"/>
      <c r="J28" s="44"/>
      <c r="K28" s="44"/>
      <c r="L28" s="45"/>
      <c r="M28" s="3"/>
      <c r="N28" s="22" t="s">
        <v>30</v>
      </c>
      <c r="O28" s="22" t="s">
        <v>30</v>
      </c>
      <c r="P28" s="22" t="s">
        <v>31</v>
      </c>
      <c r="Q28" s="22" t="s">
        <v>31</v>
      </c>
      <c r="R28" s="22" t="s">
        <v>31</v>
      </c>
      <c r="S28" s="22" t="s">
        <v>31</v>
      </c>
      <c r="T28" s="22" t="s">
        <v>31</v>
      </c>
      <c r="U28" s="22" t="s">
        <v>31</v>
      </c>
      <c r="V28" s="22" t="s">
        <v>32</v>
      </c>
      <c r="W28" s="22" t="s">
        <v>32</v>
      </c>
      <c r="X28" s="22" t="s">
        <v>319</v>
      </c>
      <c r="Y28" s="22" t="s">
        <v>33</v>
      </c>
    </row>
    <row r="29" spans="1:25" ht="19" customHeight="1">
      <c r="A29" s="31"/>
      <c r="B29" s="32"/>
      <c r="C29" s="32"/>
      <c r="D29" s="32"/>
      <c r="E29" s="32"/>
      <c r="F29" s="33"/>
      <c r="G29" s="43"/>
      <c r="H29" s="44"/>
      <c r="I29" s="44"/>
      <c r="J29" s="44"/>
      <c r="K29" s="44"/>
      <c r="L29" s="45"/>
      <c r="M29" s="3"/>
      <c r="N29" s="63"/>
      <c r="O29" s="65"/>
      <c r="P29" s="63"/>
      <c r="Q29" s="64"/>
      <c r="R29" s="64"/>
      <c r="S29" s="64"/>
      <c r="T29" s="64"/>
      <c r="U29" s="65"/>
      <c r="V29" s="75"/>
      <c r="W29" s="76"/>
      <c r="X29" s="63"/>
      <c r="Y29" s="65"/>
    </row>
    <row r="30" spans="1:25" ht="19" customHeight="1">
      <c r="A30" s="31"/>
      <c r="B30" s="32"/>
      <c r="C30" s="32"/>
      <c r="D30" s="32"/>
      <c r="E30" s="32"/>
      <c r="F30" s="33"/>
      <c r="G30" s="43"/>
      <c r="H30" s="44"/>
      <c r="I30" s="44"/>
      <c r="J30" s="44"/>
      <c r="K30" s="44"/>
      <c r="L30" s="45"/>
      <c r="M30" s="3"/>
      <c r="N30" s="63"/>
      <c r="O30" s="65"/>
      <c r="P30" s="63"/>
      <c r="Q30" s="64"/>
      <c r="R30" s="64"/>
      <c r="S30" s="64"/>
      <c r="T30" s="64"/>
      <c r="U30" s="65"/>
      <c r="V30" s="75"/>
      <c r="W30" s="76"/>
      <c r="X30" s="63"/>
      <c r="Y30" s="65"/>
    </row>
    <row r="31" spans="1:25" ht="19" customHeight="1">
      <c r="A31" s="34"/>
      <c r="B31" s="35"/>
      <c r="C31" s="35"/>
      <c r="D31" s="35"/>
      <c r="E31" s="35"/>
      <c r="F31" s="36"/>
      <c r="G31" s="46"/>
      <c r="H31" s="47"/>
      <c r="I31" s="47"/>
      <c r="J31" s="47"/>
      <c r="K31" s="47"/>
      <c r="L31" s="48"/>
      <c r="M31" s="3"/>
      <c r="N31" s="63"/>
      <c r="O31" s="65"/>
      <c r="P31" s="63"/>
      <c r="Q31" s="64"/>
      <c r="R31" s="64"/>
      <c r="S31" s="64"/>
      <c r="T31" s="64"/>
      <c r="U31" s="65"/>
      <c r="V31" s="63"/>
      <c r="W31" s="65"/>
      <c r="X31" s="63"/>
      <c r="Y31" s="65"/>
    </row>
    <row r="32" spans="1:25" ht="19" customHeight="1">
      <c r="A32" s="37" t="s">
        <v>307</v>
      </c>
      <c r="B32" s="38"/>
      <c r="C32" s="38"/>
      <c r="D32" s="38"/>
      <c r="E32" s="39"/>
      <c r="F32" s="7" t="s">
        <v>308</v>
      </c>
      <c r="G32" s="7" t="s">
        <v>9</v>
      </c>
      <c r="H32" s="37" t="s">
        <v>306</v>
      </c>
      <c r="I32" s="38"/>
      <c r="J32" s="38"/>
      <c r="K32" s="38"/>
      <c r="L32" s="39"/>
      <c r="M32" s="3"/>
      <c r="N32" s="63"/>
      <c r="O32" s="65"/>
      <c r="P32" s="63"/>
      <c r="Q32" s="64"/>
      <c r="R32" s="64"/>
      <c r="S32" s="64"/>
      <c r="T32" s="64"/>
      <c r="U32" s="65"/>
      <c r="V32" s="63"/>
      <c r="W32" s="65"/>
      <c r="X32" s="63"/>
      <c r="Y32" s="65"/>
    </row>
    <row r="33" spans="1:25" ht="18" customHeight="1">
      <c r="A33" s="57"/>
      <c r="B33" s="58"/>
      <c r="C33" s="58"/>
      <c r="D33" s="58"/>
      <c r="E33" s="58"/>
      <c r="F33" s="62"/>
      <c r="G33" s="62"/>
      <c r="H33" s="58"/>
      <c r="I33" s="58"/>
      <c r="J33" s="58"/>
      <c r="K33" s="58"/>
      <c r="L33" s="59"/>
      <c r="M33" s="3"/>
      <c r="N33" s="25" t="s">
        <v>314</v>
      </c>
      <c r="O33" s="25" t="s">
        <v>34</v>
      </c>
      <c r="P33" s="25" t="s">
        <v>34</v>
      </c>
      <c r="Q33" s="25" t="s">
        <v>34</v>
      </c>
      <c r="R33" s="25" t="s">
        <v>34</v>
      </c>
      <c r="S33" s="25" t="s">
        <v>34</v>
      </c>
      <c r="T33" s="25" t="s">
        <v>34</v>
      </c>
      <c r="U33" s="25" t="s">
        <v>34</v>
      </c>
      <c r="V33" s="25" t="s">
        <v>34</v>
      </c>
      <c r="W33" s="25" t="s">
        <v>34</v>
      </c>
      <c r="X33" s="25" t="s">
        <v>34</v>
      </c>
      <c r="Y33" s="25" t="s">
        <v>34</v>
      </c>
    </row>
    <row r="34" spans="1:25" ht="18" customHeight="1">
      <c r="A34" s="57"/>
      <c r="B34" s="58"/>
      <c r="C34" s="58"/>
      <c r="D34" s="58"/>
      <c r="E34" s="58"/>
      <c r="F34" s="62"/>
      <c r="G34" s="62"/>
      <c r="H34" s="58"/>
      <c r="I34" s="58"/>
      <c r="J34" s="58"/>
      <c r="K34" s="58"/>
      <c r="L34" s="59"/>
      <c r="M34" s="3"/>
      <c r="N34" s="22" t="s">
        <v>36</v>
      </c>
      <c r="O34" s="22" t="s">
        <v>36</v>
      </c>
      <c r="P34" s="22" t="s">
        <v>37</v>
      </c>
      <c r="Q34" s="22" t="s">
        <v>37</v>
      </c>
      <c r="R34" s="22" t="s">
        <v>38</v>
      </c>
      <c r="S34" s="22" t="s">
        <v>38</v>
      </c>
      <c r="T34" s="22" t="s">
        <v>39</v>
      </c>
      <c r="U34" s="22" t="s">
        <v>39</v>
      </c>
      <c r="V34" s="22" t="s">
        <v>40</v>
      </c>
      <c r="W34" s="22" t="s">
        <v>40</v>
      </c>
      <c r="X34" s="22" t="s">
        <v>41</v>
      </c>
      <c r="Y34" s="22" t="s">
        <v>41</v>
      </c>
    </row>
    <row r="35" spans="1:25" ht="18" customHeight="1">
      <c r="A35" s="57"/>
      <c r="B35" s="58"/>
      <c r="C35" s="58"/>
      <c r="D35" s="58"/>
      <c r="E35" s="58"/>
      <c r="F35" s="62"/>
      <c r="G35" s="62"/>
      <c r="H35" s="58"/>
      <c r="I35" s="58"/>
      <c r="J35" s="58"/>
      <c r="K35" s="58"/>
      <c r="L35" s="59"/>
      <c r="M35" s="3"/>
      <c r="N35" s="63"/>
      <c r="O35" s="65"/>
      <c r="P35" s="63"/>
      <c r="Q35" s="65"/>
      <c r="R35" s="63"/>
      <c r="S35" s="65"/>
      <c r="T35" s="63"/>
      <c r="U35" s="65"/>
      <c r="V35" s="63"/>
      <c r="W35" s="65"/>
      <c r="X35" s="63"/>
      <c r="Y35" s="65"/>
    </row>
    <row r="36" spans="1:25" ht="18" customHeight="1">
      <c r="A36" s="57"/>
      <c r="B36" s="58"/>
      <c r="C36" s="58"/>
      <c r="D36" s="58"/>
      <c r="E36" s="58"/>
      <c r="F36" s="62"/>
      <c r="G36" s="62"/>
      <c r="H36" s="58"/>
      <c r="I36" s="58"/>
      <c r="J36" s="58"/>
      <c r="K36" s="58"/>
      <c r="L36" s="59"/>
      <c r="M36" s="3"/>
      <c r="N36" s="63"/>
      <c r="O36" s="65"/>
      <c r="P36" s="63"/>
      <c r="Q36" s="65"/>
      <c r="R36" s="63"/>
      <c r="S36" s="65"/>
      <c r="T36" s="63"/>
      <c r="U36" s="65"/>
      <c r="V36" s="63"/>
      <c r="W36" s="65"/>
      <c r="X36" s="63"/>
      <c r="Y36" s="65"/>
    </row>
    <row r="37" spans="1:25" ht="18" customHeight="1">
      <c r="A37" s="49" t="s">
        <v>311</v>
      </c>
      <c r="B37" s="49" t="s">
        <v>35</v>
      </c>
      <c r="C37" s="49" t="s">
        <v>35</v>
      </c>
      <c r="D37" s="49" t="s">
        <v>35</v>
      </c>
      <c r="E37" s="49" t="s">
        <v>35</v>
      </c>
      <c r="F37" s="49" t="s">
        <v>35</v>
      </c>
      <c r="G37" s="49" t="s">
        <v>35</v>
      </c>
      <c r="H37" s="49" t="s">
        <v>35</v>
      </c>
      <c r="I37" s="49" t="s">
        <v>35</v>
      </c>
      <c r="J37" s="49" t="s">
        <v>35</v>
      </c>
      <c r="K37" s="49" t="s">
        <v>35</v>
      </c>
      <c r="L37" s="50" t="s">
        <v>35</v>
      </c>
      <c r="M37" s="3"/>
      <c r="N37" s="63"/>
      <c r="O37" s="65"/>
      <c r="P37" s="72"/>
      <c r="Q37" s="73"/>
      <c r="R37" s="72"/>
      <c r="S37" s="73"/>
      <c r="T37" s="72"/>
      <c r="U37" s="73"/>
      <c r="V37" s="72"/>
      <c r="W37" s="73"/>
      <c r="X37" s="63"/>
      <c r="Y37" s="65"/>
    </row>
    <row r="38" spans="1:25" ht="18" customHeight="1">
      <c r="A38" s="22" t="s">
        <v>42</v>
      </c>
      <c r="B38" s="22" t="s">
        <v>42</v>
      </c>
      <c r="C38" s="22" t="s">
        <v>42</v>
      </c>
      <c r="D38" s="22" t="s">
        <v>42</v>
      </c>
      <c r="E38" s="22" t="s">
        <v>42</v>
      </c>
      <c r="F38" s="22" t="s">
        <v>42</v>
      </c>
      <c r="G38" s="22" t="s">
        <v>42</v>
      </c>
      <c r="H38" s="22" t="s">
        <v>42</v>
      </c>
      <c r="I38" s="22" t="s">
        <v>43</v>
      </c>
      <c r="J38" s="22" t="s">
        <v>43</v>
      </c>
      <c r="K38" s="22" t="s">
        <v>38</v>
      </c>
      <c r="L38" s="22" t="s">
        <v>38</v>
      </c>
      <c r="M38" s="3"/>
      <c r="N38" s="63"/>
      <c r="O38" s="65"/>
      <c r="P38" s="72"/>
      <c r="Q38" s="73"/>
      <c r="R38" s="72"/>
      <c r="S38" s="73"/>
      <c r="T38" s="72"/>
      <c r="U38" s="73"/>
      <c r="V38" s="72"/>
      <c r="W38" s="73"/>
      <c r="X38" s="63"/>
      <c r="Y38" s="65"/>
    </row>
    <row r="39" spans="1:25" ht="16" customHeight="1">
      <c r="A39" s="51"/>
      <c r="B39" s="52"/>
      <c r="C39" s="52"/>
      <c r="D39" s="52"/>
      <c r="E39" s="52"/>
      <c r="F39" s="52"/>
      <c r="G39" s="52"/>
      <c r="H39" s="53"/>
      <c r="I39" s="60"/>
      <c r="J39" s="61"/>
      <c r="K39" s="60"/>
      <c r="L39" s="61"/>
      <c r="M39" s="3"/>
      <c r="N39" s="25" t="s">
        <v>315</v>
      </c>
      <c r="O39" s="25" t="s">
        <v>44</v>
      </c>
      <c r="P39" s="25" t="s">
        <v>44</v>
      </c>
      <c r="Q39" s="25" t="s">
        <v>44</v>
      </c>
      <c r="R39" s="25" t="s">
        <v>44</v>
      </c>
      <c r="S39" s="25" t="s">
        <v>44</v>
      </c>
      <c r="T39" s="25" t="s">
        <v>44</v>
      </c>
      <c r="U39" s="25" t="s">
        <v>44</v>
      </c>
      <c r="V39" s="25" t="s">
        <v>44</v>
      </c>
      <c r="W39" s="25" t="s">
        <v>44</v>
      </c>
      <c r="X39" s="25" t="s">
        <v>44</v>
      </c>
      <c r="Y39" s="25" t="s">
        <v>44</v>
      </c>
    </row>
    <row r="40" spans="1:25" ht="16" customHeight="1">
      <c r="A40" s="51"/>
      <c r="B40" s="52"/>
      <c r="C40" s="52"/>
      <c r="D40" s="52"/>
      <c r="E40" s="52"/>
      <c r="F40" s="52"/>
      <c r="G40" s="52"/>
      <c r="H40" s="53"/>
      <c r="I40" s="60"/>
      <c r="J40" s="61"/>
      <c r="K40" s="60"/>
      <c r="L40" s="61"/>
      <c r="M40" s="3"/>
      <c r="N40" s="22" t="s">
        <v>45</v>
      </c>
      <c r="O40" s="22" t="s">
        <v>45</v>
      </c>
      <c r="P40" s="22" t="s">
        <v>45</v>
      </c>
      <c r="Q40" s="22" t="s">
        <v>45</v>
      </c>
      <c r="R40" s="22" t="s">
        <v>46</v>
      </c>
      <c r="S40" s="22" t="s">
        <v>46</v>
      </c>
      <c r="T40" s="22" t="s">
        <v>47</v>
      </c>
      <c r="U40" s="22" t="s">
        <v>47</v>
      </c>
      <c r="V40" s="22" t="s">
        <v>47</v>
      </c>
      <c r="W40" s="22" t="s">
        <v>48</v>
      </c>
      <c r="X40" s="22" t="s">
        <v>48</v>
      </c>
      <c r="Y40" s="22" t="s">
        <v>48</v>
      </c>
    </row>
    <row r="41" spans="1:25" ht="16" customHeight="1">
      <c r="A41" s="51"/>
      <c r="B41" s="52"/>
      <c r="C41" s="52"/>
      <c r="D41" s="52"/>
      <c r="E41" s="52"/>
      <c r="F41" s="52"/>
      <c r="G41" s="52"/>
      <c r="H41" s="53"/>
      <c r="I41" s="60"/>
      <c r="J41" s="61"/>
      <c r="K41" s="60"/>
      <c r="L41" s="61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15" customHeight="1">
      <c r="A42" s="51"/>
      <c r="B42" s="52"/>
      <c r="C42" s="52"/>
      <c r="D42" s="52"/>
      <c r="E42" s="52"/>
      <c r="F42" s="52"/>
      <c r="G42" s="52"/>
      <c r="H42" s="53"/>
      <c r="I42" s="60"/>
      <c r="J42" s="61"/>
      <c r="K42" s="60"/>
      <c r="L42" s="61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>
      <c r="A43" s="69" t="s">
        <v>49</v>
      </c>
      <c r="B43" s="69" t="s">
        <v>49</v>
      </c>
      <c r="C43" s="69" t="s">
        <v>49</v>
      </c>
      <c r="D43" s="69" t="s">
        <v>49</v>
      </c>
      <c r="E43" s="69" t="s">
        <v>49</v>
      </c>
      <c r="F43" s="69" t="s">
        <v>49</v>
      </c>
      <c r="G43" s="69" t="s">
        <v>49</v>
      </c>
      <c r="H43" s="69" t="s">
        <v>49</v>
      </c>
      <c r="I43" s="69" t="s">
        <v>49</v>
      </c>
      <c r="J43" s="69" t="s">
        <v>49</v>
      </c>
      <c r="K43" s="69" t="s">
        <v>49</v>
      </c>
      <c r="L43" s="69" t="s">
        <v>49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>
      <c r="A44" s="22" t="s">
        <v>303</v>
      </c>
      <c r="B44" s="22" t="s">
        <v>50</v>
      </c>
      <c r="C44" s="22" t="s">
        <v>50</v>
      </c>
      <c r="D44" s="37" t="s">
        <v>316</v>
      </c>
      <c r="E44" s="39"/>
      <c r="F44" s="7" t="s">
        <v>32</v>
      </c>
      <c r="G44" s="22" t="s">
        <v>305</v>
      </c>
      <c r="H44" s="22" t="s">
        <v>51</v>
      </c>
      <c r="I44" s="22" t="s">
        <v>51</v>
      </c>
      <c r="J44" s="37" t="s">
        <v>316</v>
      </c>
      <c r="K44" s="39"/>
      <c r="L44" s="7" t="s">
        <v>32</v>
      </c>
      <c r="M44" s="3"/>
      <c r="N44" s="22" t="s">
        <v>304</v>
      </c>
      <c r="O44" s="22" t="s">
        <v>52</v>
      </c>
      <c r="P44" s="22" t="s">
        <v>52</v>
      </c>
      <c r="Q44" s="37" t="s">
        <v>316</v>
      </c>
      <c r="R44" s="39"/>
      <c r="S44" s="7" t="s">
        <v>32</v>
      </c>
      <c r="T44" s="22" t="s">
        <v>53</v>
      </c>
      <c r="U44" s="22" t="s">
        <v>53</v>
      </c>
      <c r="V44" s="22" t="s">
        <v>53</v>
      </c>
      <c r="W44" s="22" t="s">
        <v>54</v>
      </c>
      <c r="X44" s="22" t="s">
        <v>54</v>
      </c>
      <c r="Y44" s="22" t="s">
        <v>54</v>
      </c>
    </row>
    <row r="45" spans="1:25">
      <c r="A45" s="23"/>
      <c r="B45" s="23"/>
      <c r="C45" s="23"/>
      <c r="D45" s="70"/>
      <c r="E45" s="71"/>
      <c r="F45" s="9"/>
      <c r="G45" s="23"/>
      <c r="H45" s="23"/>
      <c r="I45" s="23"/>
      <c r="J45" s="70"/>
      <c r="K45" s="71"/>
      <c r="L45" s="9"/>
      <c r="M45" s="3"/>
      <c r="N45" s="23"/>
      <c r="O45" s="23"/>
      <c r="P45" s="23"/>
      <c r="Q45" s="70"/>
      <c r="R45" s="71"/>
      <c r="S45" s="9"/>
      <c r="T45" s="23"/>
      <c r="U45" s="23"/>
      <c r="V45" s="23"/>
      <c r="W45" s="23"/>
      <c r="X45" s="23"/>
      <c r="Y45" s="23"/>
    </row>
  </sheetData>
  <mergeCells count="136">
    <mergeCell ref="R43:S43"/>
    <mergeCell ref="T43:V43"/>
    <mergeCell ref="W43:Y43"/>
    <mergeCell ref="O25:R25"/>
    <mergeCell ref="S25:T25"/>
    <mergeCell ref="U25:V25"/>
    <mergeCell ref="W25:Y25"/>
    <mergeCell ref="O26:R26"/>
    <mergeCell ref="S26:T26"/>
    <mergeCell ref="U26:V26"/>
    <mergeCell ref="W26:Y26"/>
    <mergeCell ref="Q45:R45"/>
    <mergeCell ref="G27:I27"/>
    <mergeCell ref="J27:L27"/>
    <mergeCell ref="G29:I29"/>
    <mergeCell ref="J29:L29"/>
    <mergeCell ref="G30:I30"/>
    <mergeCell ref="J30:L30"/>
    <mergeCell ref="A39:H39"/>
    <mergeCell ref="I39:J39"/>
    <mergeCell ref="K39:L39"/>
    <mergeCell ref="I42:J42"/>
    <mergeCell ref="K40:L40"/>
    <mergeCell ref="K41:L41"/>
    <mergeCell ref="K42:L42"/>
    <mergeCell ref="G18:I18"/>
    <mergeCell ref="J18:L18"/>
    <mergeCell ref="I40:J40"/>
    <mergeCell ref="I41:J41"/>
    <mergeCell ref="G19:I19"/>
    <mergeCell ref="J19:L19"/>
    <mergeCell ref="A40:H40"/>
    <mergeCell ref="A41:H41"/>
    <mergeCell ref="A42:H42"/>
    <mergeCell ref="J25:L25"/>
    <mergeCell ref="J26:L26"/>
    <mergeCell ref="J31:L31"/>
    <mergeCell ref="J28:L28"/>
    <mergeCell ref="A32:E32"/>
    <mergeCell ref="H32:L32"/>
    <mergeCell ref="G25:I25"/>
    <mergeCell ref="G26:I26"/>
    <mergeCell ref="G31:I31"/>
    <mergeCell ref="G28:I28"/>
    <mergeCell ref="T45:V45"/>
    <mergeCell ref="W45:Y45"/>
    <mergeCell ref="A17:F17"/>
    <mergeCell ref="G17:L17"/>
    <mergeCell ref="G24:I24"/>
    <mergeCell ref="J24:L24"/>
    <mergeCell ref="A37:L37"/>
    <mergeCell ref="A45:C45"/>
    <mergeCell ref="G45:I45"/>
    <mergeCell ref="N45:P45"/>
    <mergeCell ref="D45:E45"/>
    <mergeCell ref="J45:K45"/>
    <mergeCell ref="A44:C44"/>
    <mergeCell ref="G44:I44"/>
    <mergeCell ref="N44:P44"/>
    <mergeCell ref="T44:V44"/>
    <mergeCell ref="W44:Y44"/>
    <mergeCell ref="D44:E44"/>
    <mergeCell ref="J44:K44"/>
    <mergeCell ref="Q44:R44"/>
    <mergeCell ref="N43:Q43"/>
    <mergeCell ref="N41:Q41"/>
    <mergeCell ref="R41:S41"/>
    <mergeCell ref="T41:V41"/>
    <mergeCell ref="W41:Y41"/>
    <mergeCell ref="N42:Q42"/>
    <mergeCell ref="R42:S42"/>
    <mergeCell ref="T42:V42"/>
    <mergeCell ref="W42:Y42"/>
    <mergeCell ref="N39:Y39"/>
    <mergeCell ref="N40:Q40"/>
    <mergeCell ref="R40:S40"/>
    <mergeCell ref="T40:V40"/>
    <mergeCell ref="W40:Y40"/>
    <mergeCell ref="P34:Q34"/>
    <mergeCell ref="R34:S34"/>
    <mergeCell ref="T34:U34"/>
    <mergeCell ref="V34:W34"/>
    <mergeCell ref="X34:Y34"/>
    <mergeCell ref="N34:O34"/>
    <mergeCell ref="N33:Y33"/>
    <mergeCell ref="N28:O28"/>
    <mergeCell ref="P28:U28"/>
    <mergeCell ref="V28:W28"/>
    <mergeCell ref="X28:Y28"/>
    <mergeCell ref="O23:R23"/>
    <mergeCell ref="O24:R24"/>
    <mergeCell ref="S23:T23"/>
    <mergeCell ref="S24:T24"/>
    <mergeCell ref="U23:V23"/>
    <mergeCell ref="U24:V24"/>
    <mergeCell ref="W23:Y23"/>
    <mergeCell ref="N27:Y27"/>
    <mergeCell ref="W24:Y24"/>
    <mergeCell ref="S22:T22"/>
    <mergeCell ref="U22:V22"/>
    <mergeCell ref="W22:Y22"/>
    <mergeCell ref="A43:L43"/>
    <mergeCell ref="N7:Y7"/>
    <mergeCell ref="N21:Y21"/>
    <mergeCell ref="O22:R22"/>
    <mergeCell ref="A38:H38"/>
    <mergeCell ref="I38:J38"/>
    <mergeCell ref="K38:L38"/>
    <mergeCell ref="G23:I23"/>
    <mergeCell ref="J23:L23"/>
    <mergeCell ref="G22:I22"/>
    <mergeCell ref="J22:L22"/>
    <mergeCell ref="G20:I20"/>
    <mergeCell ref="J20:L20"/>
    <mergeCell ref="G21:I21"/>
    <mergeCell ref="J21:L21"/>
    <mergeCell ref="A16:L16"/>
    <mergeCell ref="X5:Y5"/>
    <mergeCell ref="A7:L7"/>
    <mergeCell ref="A8:F8"/>
    <mergeCell ref="G8:L8"/>
    <mergeCell ref="B5:C5"/>
    <mergeCell ref="E5:I5"/>
    <mergeCell ref="K5:L5"/>
    <mergeCell ref="O4:P4"/>
    <mergeCell ref="R4:V4"/>
    <mergeCell ref="O5:P5"/>
    <mergeCell ref="R5:V5"/>
    <mergeCell ref="A1:Y1"/>
    <mergeCell ref="A2:Y2"/>
    <mergeCell ref="A3:L3"/>
    <mergeCell ref="N3:Y3"/>
    <mergeCell ref="B4:C4"/>
    <mergeCell ref="E4:I4"/>
    <mergeCell ref="K4:L4"/>
    <mergeCell ref="X4:Y4"/>
  </mergeCells>
  <conditionalFormatting sqref="X5:Y5">
    <cfRule type="containsText" dxfId="7" priority="2" operator="containsText" text="Kırmızı">
      <formula>NOT(ISERROR(SEARCH("Kırmızı",X5)))</formula>
    </cfRule>
    <cfRule type="containsText" dxfId="6" priority="3" operator="containsText" text="Sarı">
      <formula>NOT(ISERROR(SEARCH("Sarı",X5)))</formula>
    </cfRule>
    <cfRule type="containsText" dxfId="5" priority="4" operator="containsText" text="Yeşil">
      <formula>NOT(ISERROR(SEARCH("Yeşil",X5)))</formula>
    </cfRule>
  </conditionalFormatting>
  <dataValidations count="8">
    <dataValidation type="list" sqref="X4" xr:uid="{00000000-0002-0000-0000-000000000000}">
      <formula1>"Kritik,Yüksek,Orta,Düşük"</formula1>
    </dataValidation>
    <dataValidation type="list" sqref="X5" xr:uid="{00000000-0002-0000-0000-000001000000}">
      <formula1>"Kırmızı,Sarı,Yeşil"</formula1>
    </dataValidation>
    <dataValidation type="list" sqref="W23:W26" xr:uid="{88C18CE1-7FFB-854D-962C-A407C8B20209}">
      <formula1>"Başlamadı,Devam Ediyor,Engelli,Tamamlandı"</formula1>
    </dataValidation>
    <dataValidation type="list" sqref="X35:X38" xr:uid="{F1CC7AD0-986A-C24C-BFA3-15F3C28C403C}">
      <formula1>"Başarılı,Kısmi,Başarısız"</formula1>
    </dataValidation>
    <dataValidation type="list" sqref="R41:R43" xr:uid="{00000000-0002-0000-0000-000009000000}">
      <formula1>"Evet,Hayır,Uygulanamaz"</formula1>
    </dataValidation>
    <dataValidation type="list" sqref="G45" xr:uid="{00000000-0002-0000-0000-00000C000000}">
      <formula1>"Devam,Revizyon,Onay"</formula1>
    </dataValidation>
    <dataValidation type="list" sqref="T45" xr:uid="{00000000-0002-0000-0000-00000D000000}">
      <formula1>"Açık,İzlemede,Kapalı"</formula1>
    </dataValidation>
    <dataValidation type="list" sqref="W45" xr:uid="{00000000-0002-0000-0000-00000E000000}">
      <formula1>"Taslak,Gözden Geçirme,Onaylandı,Reddedildi"</formula1>
    </dataValidation>
  </dataValidations>
  <printOptions horizontalCentered="1" verticalCentered="1"/>
  <pageMargins left="0.28000000000000003" right="0.28000000000000003" top="0.28000000000000003" bottom="0.28000000000000003" header="0.12" footer="0.12"/>
  <pageSetup paperSize="8" orientation="landscape"/>
  <headerFooter>
    <oddHeader>&amp;R&amp;"Aptos"&amp;10&amp;K0000FF Classification:Business / Non-GDPR Data&amp;1#_x000D_</oddHead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8"/>
  <sheetViews>
    <sheetView showGridLines="0" workbookViewId="0">
      <selection sqref="A1:L1"/>
    </sheetView>
  </sheetViews>
  <sheetFormatPr baseColWidth="10" defaultColWidth="8.83203125" defaultRowHeight="14"/>
  <cols>
    <col min="1" max="1" width="16" customWidth="1"/>
    <col min="2" max="12" width="18" customWidth="1"/>
  </cols>
  <sheetData>
    <row r="1" spans="1:24" ht="30" customHeight="1">
      <c r="A1" s="26" t="s">
        <v>55</v>
      </c>
      <c r="B1" s="26" t="s">
        <v>55</v>
      </c>
      <c r="C1" s="26" t="s">
        <v>55</v>
      </c>
      <c r="D1" s="26" t="s">
        <v>55</v>
      </c>
      <c r="E1" s="26" t="s">
        <v>55</v>
      </c>
      <c r="F1" s="26" t="s">
        <v>55</v>
      </c>
      <c r="G1" s="26" t="s">
        <v>55</v>
      </c>
      <c r="H1" s="26" t="s">
        <v>55</v>
      </c>
      <c r="I1" s="26" t="s">
        <v>55</v>
      </c>
      <c r="J1" s="26" t="s">
        <v>55</v>
      </c>
      <c r="K1" s="26" t="s">
        <v>55</v>
      </c>
      <c r="L1" s="26" t="s">
        <v>55</v>
      </c>
    </row>
    <row r="2" spans="1:24">
      <c r="A2" s="27" t="s">
        <v>56</v>
      </c>
      <c r="B2" s="27" t="s">
        <v>56</v>
      </c>
      <c r="C2" s="27" t="s">
        <v>56</v>
      </c>
      <c r="D2" s="27" t="s">
        <v>56</v>
      </c>
      <c r="E2" s="27" t="s">
        <v>56</v>
      </c>
      <c r="F2" s="27" t="s">
        <v>56</v>
      </c>
      <c r="G2" s="27" t="s">
        <v>56</v>
      </c>
      <c r="H2" s="27" t="s">
        <v>56</v>
      </c>
      <c r="I2" s="27" t="s">
        <v>56</v>
      </c>
      <c r="J2" s="27" t="s">
        <v>56</v>
      </c>
      <c r="K2" s="27" t="s">
        <v>56</v>
      </c>
      <c r="L2" s="27" t="s">
        <v>56</v>
      </c>
      <c r="M2" s="27" t="s">
        <v>56</v>
      </c>
      <c r="N2" s="27" t="s">
        <v>56</v>
      </c>
      <c r="O2" s="27" t="s">
        <v>56</v>
      </c>
      <c r="P2" s="27" t="s">
        <v>56</v>
      </c>
      <c r="Q2" s="27" t="s">
        <v>56</v>
      </c>
      <c r="R2" s="27" t="s">
        <v>56</v>
      </c>
      <c r="S2" s="27" t="s">
        <v>56</v>
      </c>
      <c r="T2" s="27" t="s">
        <v>56</v>
      </c>
      <c r="U2" s="27" t="s">
        <v>56</v>
      </c>
      <c r="V2" s="27" t="s">
        <v>56</v>
      </c>
      <c r="W2" s="27" t="s">
        <v>56</v>
      </c>
      <c r="X2" s="27" t="s">
        <v>56</v>
      </c>
    </row>
    <row r="3" spans="1:24">
      <c r="A3" s="19" t="s">
        <v>57</v>
      </c>
      <c r="B3" s="19" t="s">
        <v>57</v>
      </c>
      <c r="C3" s="19" t="s">
        <v>57</v>
      </c>
      <c r="D3" s="19" t="s">
        <v>57</v>
      </c>
      <c r="E3" s="19" t="s">
        <v>57</v>
      </c>
      <c r="F3" s="19" t="s">
        <v>57</v>
      </c>
      <c r="G3" s="19" t="s">
        <v>57</v>
      </c>
      <c r="H3" s="19" t="s">
        <v>57</v>
      </c>
      <c r="I3" s="19" t="s">
        <v>57</v>
      </c>
      <c r="J3" s="19" t="s">
        <v>57</v>
      </c>
      <c r="K3" s="19" t="s">
        <v>57</v>
      </c>
      <c r="L3" s="19" t="s">
        <v>57</v>
      </c>
    </row>
    <row r="4" spans="1:24" ht="16">
      <c r="A4" s="1" t="s">
        <v>58</v>
      </c>
      <c r="B4" s="1" t="s">
        <v>59</v>
      </c>
      <c r="C4" s="1" t="s">
        <v>60</v>
      </c>
      <c r="D4" s="1"/>
      <c r="E4" s="1"/>
      <c r="F4" s="1"/>
      <c r="G4" s="1"/>
      <c r="H4" s="1"/>
      <c r="I4" s="1"/>
      <c r="J4" s="1"/>
      <c r="K4" s="1"/>
      <c r="L4" s="1"/>
    </row>
    <row r="5" spans="1:24">
      <c r="A5" t="s">
        <v>61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24">
      <c r="A6" t="s">
        <v>62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24">
      <c r="A7" t="s">
        <v>63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24">
      <c r="A8" t="s">
        <v>64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24">
      <c r="A9" t="s">
        <v>65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24">
      <c r="A10" t="s">
        <v>66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2" spans="1:24">
      <c r="A12" s="19" t="s">
        <v>67</v>
      </c>
      <c r="B12" s="19" t="s">
        <v>67</v>
      </c>
      <c r="C12" s="19" t="s">
        <v>67</v>
      </c>
      <c r="D12" s="19" t="s">
        <v>67</v>
      </c>
      <c r="E12" s="19" t="s">
        <v>67</v>
      </c>
      <c r="F12" s="19" t="s">
        <v>67</v>
      </c>
      <c r="G12" s="19" t="s">
        <v>68</v>
      </c>
      <c r="H12" s="19" t="s">
        <v>68</v>
      </c>
      <c r="I12" s="19" t="s">
        <v>68</v>
      </c>
      <c r="J12" s="19" t="s">
        <v>68</v>
      </c>
      <c r="K12" s="19" t="s">
        <v>68</v>
      </c>
      <c r="L12" s="19" t="s">
        <v>68</v>
      </c>
    </row>
    <row r="13" spans="1:24" ht="32">
      <c r="A13" s="1" t="s">
        <v>69</v>
      </c>
      <c r="B13" s="1" t="s">
        <v>70</v>
      </c>
      <c r="C13" s="1" t="s">
        <v>71</v>
      </c>
      <c r="D13" s="1" t="s">
        <v>72</v>
      </c>
      <c r="E13" s="1"/>
      <c r="F13" s="1"/>
      <c r="G13" s="8"/>
      <c r="H13" s="8"/>
      <c r="I13" s="8"/>
      <c r="J13" s="8"/>
      <c r="K13" s="8"/>
      <c r="L13" s="8"/>
    </row>
    <row r="14" spans="1:24">
      <c r="A14" t="s">
        <v>73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24">
      <c r="A15" t="s">
        <v>74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24">
      <c r="A16" t="s">
        <v>75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>
      <c r="A17" t="s">
        <v>76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>
      <c r="A18" t="s">
        <v>77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20" spans="1:12">
      <c r="A20" s="19" t="s">
        <v>78</v>
      </c>
      <c r="B20" s="19" t="s">
        <v>78</v>
      </c>
      <c r="C20" s="19" t="s">
        <v>78</v>
      </c>
      <c r="D20" s="19" t="s">
        <v>78</v>
      </c>
      <c r="E20" s="19" t="s">
        <v>78</v>
      </c>
      <c r="F20" s="19" t="s">
        <v>78</v>
      </c>
      <c r="G20" s="19" t="s">
        <v>78</v>
      </c>
      <c r="H20" s="19" t="s">
        <v>78</v>
      </c>
      <c r="I20" s="19" t="s">
        <v>78</v>
      </c>
      <c r="J20" s="19" t="s">
        <v>78</v>
      </c>
      <c r="K20" s="19" t="s">
        <v>78</v>
      </c>
      <c r="L20" s="19" t="s">
        <v>78</v>
      </c>
    </row>
    <row r="21" spans="1:12" ht="16">
      <c r="A21" s="1" t="s">
        <v>79</v>
      </c>
      <c r="B21" s="1" t="s">
        <v>80</v>
      </c>
      <c r="C21" s="1" t="s">
        <v>81</v>
      </c>
      <c r="D21" s="1" t="s">
        <v>82</v>
      </c>
      <c r="E21" s="1" t="s">
        <v>83</v>
      </c>
      <c r="F21" s="1" t="s">
        <v>84</v>
      </c>
      <c r="G21" s="1" t="s">
        <v>85</v>
      </c>
      <c r="H21" s="1" t="s">
        <v>86</v>
      </c>
      <c r="I21" s="1" t="s">
        <v>87</v>
      </c>
      <c r="J21" s="1" t="s">
        <v>88</v>
      </c>
      <c r="K21" s="1" t="s">
        <v>89</v>
      </c>
      <c r="L21" s="1" t="s">
        <v>90</v>
      </c>
    </row>
    <row r="22" spans="1:12" ht="15">
      <c r="A22" s="8" t="s">
        <v>73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15">
      <c r="A23" s="8" t="s">
        <v>91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ht="15">
      <c r="A24" s="8" t="s">
        <v>92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ht="15">
      <c r="A25" s="8" t="s">
        <v>93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ht="15">
      <c r="A26" s="8" t="s">
        <v>94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ht="15">
      <c r="A27" s="8" t="s">
        <v>95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ht="15">
      <c r="A28" s="8" t="s">
        <v>96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</sheetData>
  <mergeCells count="6">
    <mergeCell ref="A20:L20"/>
    <mergeCell ref="A1:L1"/>
    <mergeCell ref="A2:X2"/>
    <mergeCell ref="A3:L3"/>
    <mergeCell ref="A12:F12"/>
    <mergeCell ref="G12:L12"/>
  </mergeCells>
  <dataValidations count="2">
    <dataValidation type="list" sqref="H22:H28" xr:uid="{00000000-0002-0000-0100-000000000000}">
      <formula1>"Critical,High,Medium,Low"</formula1>
    </dataValidation>
    <dataValidation type="list" sqref="I22:I28" xr:uid="{00000000-0002-0000-0100-000001000000}">
      <formula1>"Yes,No"</formula1>
    </dataValidation>
  </dataValidations>
  <pageMargins left="0.7" right="0.7" top="0.75" bottom="0.75" header="0.3" footer="0.3"/>
  <pageSetup paperSize="9" orientation="portrait" horizontalDpi="0" verticalDpi="0"/>
  <headerFooter>
    <oddHeader>&amp;R&amp;"Aptos"&amp;10&amp;K0000FF Classification:Business / Non-GDPR Data&amp;1#_x000D_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showGridLines="0" workbookViewId="0">
      <selection sqref="A1:L1"/>
    </sheetView>
  </sheetViews>
  <sheetFormatPr baseColWidth="10" defaultColWidth="8.83203125" defaultRowHeight="14"/>
  <cols>
    <col min="1" max="1" width="14" customWidth="1"/>
    <col min="2" max="2" width="16" customWidth="1"/>
    <col min="3" max="4" width="14" customWidth="1"/>
    <col min="5" max="7" width="16" customWidth="1"/>
    <col min="8" max="8" width="18" customWidth="1"/>
    <col min="9" max="11" width="14" customWidth="1"/>
    <col min="12" max="12" width="18" customWidth="1"/>
  </cols>
  <sheetData>
    <row r="1" spans="1:24" ht="30" customHeight="1">
      <c r="A1" s="26" t="s">
        <v>97</v>
      </c>
      <c r="B1" s="26" t="s">
        <v>97</v>
      </c>
      <c r="C1" s="26" t="s">
        <v>97</v>
      </c>
      <c r="D1" s="26" t="s">
        <v>97</v>
      </c>
      <c r="E1" s="26" t="s">
        <v>97</v>
      </c>
      <c r="F1" s="26" t="s">
        <v>97</v>
      </c>
      <c r="G1" s="26" t="s">
        <v>97</v>
      </c>
      <c r="H1" s="26" t="s">
        <v>97</v>
      </c>
      <c r="I1" s="26" t="s">
        <v>97</v>
      </c>
      <c r="J1" s="26" t="s">
        <v>97</v>
      </c>
      <c r="K1" s="26" t="s">
        <v>97</v>
      </c>
      <c r="L1" s="26" t="s">
        <v>97</v>
      </c>
    </row>
    <row r="2" spans="1:24">
      <c r="A2" s="27" t="s">
        <v>98</v>
      </c>
      <c r="B2" s="27" t="s">
        <v>98</v>
      </c>
      <c r="C2" s="27" t="s">
        <v>98</v>
      </c>
      <c r="D2" s="27" t="s">
        <v>98</v>
      </c>
      <c r="E2" s="27" t="s">
        <v>98</v>
      </c>
      <c r="F2" s="27" t="s">
        <v>98</v>
      </c>
      <c r="G2" s="27" t="s">
        <v>98</v>
      </c>
      <c r="H2" s="27" t="s">
        <v>98</v>
      </c>
      <c r="I2" s="27" t="s">
        <v>98</v>
      </c>
      <c r="J2" s="27" t="s">
        <v>98</v>
      </c>
      <c r="K2" s="27" t="s">
        <v>98</v>
      </c>
      <c r="L2" s="27" t="s">
        <v>98</v>
      </c>
      <c r="M2" s="27" t="s">
        <v>98</v>
      </c>
      <c r="N2" s="27" t="s">
        <v>98</v>
      </c>
      <c r="O2" s="27" t="s">
        <v>98</v>
      </c>
      <c r="P2" s="27" t="s">
        <v>98</v>
      </c>
      <c r="Q2" s="27" t="s">
        <v>98</v>
      </c>
      <c r="R2" s="27" t="s">
        <v>98</v>
      </c>
      <c r="S2" s="27" t="s">
        <v>98</v>
      </c>
      <c r="T2" s="27" t="s">
        <v>98</v>
      </c>
      <c r="U2" s="27" t="s">
        <v>98</v>
      </c>
      <c r="V2" s="27" t="s">
        <v>98</v>
      </c>
      <c r="W2" s="27" t="s">
        <v>98</v>
      </c>
      <c r="X2" s="27" t="s">
        <v>98</v>
      </c>
    </row>
    <row r="3" spans="1:24" ht="16">
      <c r="A3" s="1" t="s">
        <v>99</v>
      </c>
      <c r="B3" s="1" t="s">
        <v>36</v>
      </c>
      <c r="C3" s="1" t="s">
        <v>100</v>
      </c>
      <c r="D3" s="1" t="s">
        <v>101</v>
      </c>
      <c r="E3" s="1" t="s">
        <v>102</v>
      </c>
      <c r="F3" s="1" t="s">
        <v>103</v>
      </c>
      <c r="G3" s="1" t="s">
        <v>104</v>
      </c>
      <c r="H3" s="1" t="s">
        <v>105</v>
      </c>
      <c r="I3" s="1" t="s">
        <v>82</v>
      </c>
      <c r="J3" s="1" t="s">
        <v>83</v>
      </c>
      <c r="K3" s="1" t="s">
        <v>84</v>
      </c>
      <c r="L3" s="1" t="s">
        <v>106</v>
      </c>
    </row>
    <row r="4" spans="1:24" ht="15">
      <c r="A4" s="9"/>
      <c r="B4" s="8" t="s">
        <v>107</v>
      </c>
      <c r="C4" s="8"/>
      <c r="D4" s="8"/>
      <c r="E4" s="8"/>
      <c r="F4" s="8" t="s">
        <v>81</v>
      </c>
      <c r="G4" s="8"/>
      <c r="H4" s="8"/>
      <c r="I4" s="8"/>
      <c r="J4" s="8"/>
      <c r="K4" s="10" t="str">
        <f t="shared" ref="K4:K27" si="0">IF(OR(I4="",J4="",J4=0),"",I4/J4)</f>
        <v/>
      </c>
      <c r="L4" s="8"/>
    </row>
    <row r="5" spans="1:24" ht="15">
      <c r="A5" s="9"/>
      <c r="B5" s="8" t="s">
        <v>107</v>
      </c>
      <c r="C5" s="8"/>
      <c r="D5" s="8"/>
      <c r="E5" s="8"/>
      <c r="F5" s="8" t="s">
        <v>81</v>
      </c>
      <c r="G5" s="8"/>
      <c r="H5" s="8"/>
      <c r="I5" s="8"/>
      <c r="J5" s="8"/>
      <c r="K5" s="10" t="str">
        <f t="shared" si="0"/>
        <v/>
      </c>
      <c r="L5" s="8"/>
    </row>
    <row r="6" spans="1:24" ht="15">
      <c r="A6" s="9"/>
      <c r="B6" s="8" t="s">
        <v>107</v>
      </c>
      <c r="C6" s="8"/>
      <c r="D6" s="8"/>
      <c r="E6" s="8"/>
      <c r="F6" s="8" t="s">
        <v>81</v>
      </c>
      <c r="G6" s="8"/>
      <c r="H6" s="8"/>
      <c r="I6" s="8"/>
      <c r="J6" s="8"/>
      <c r="K6" s="10" t="str">
        <f t="shared" si="0"/>
        <v/>
      </c>
      <c r="L6" s="8"/>
    </row>
    <row r="7" spans="1:24" ht="15">
      <c r="A7" s="9"/>
      <c r="B7" s="8" t="s">
        <v>107</v>
      </c>
      <c r="C7" s="8"/>
      <c r="D7" s="8"/>
      <c r="E7" s="8"/>
      <c r="F7" s="8" t="s">
        <v>81</v>
      </c>
      <c r="G7" s="8"/>
      <c r="H7" s="8"/>
      <c r="I7" s="8"/>
      <c r="J7" s="8"/>
      <c r="K7" s="10" t="str">
        <f t="shared" si="0"/>
        <v/>
      </c>
      <c r="L7" s="8"/>
    </row>
    <row r="8" spans="1:24" ht="15">
      <c r="A8" s="9"/>
      <c r="B8" s="8" t="s">
        <v>107</v>
      </c>
      <c r="C8" s="8"/>
      <c r="D8" s="8"/>
      <c r="E8" s="8"/>
      <c r="F8" s="8" t="s">
        <v>81</v>
      </c>
      <c r="G8" s="8"/>
      <c r="H8" s="8"/>
      <c r="I8" s="8"/>
      <c r="J8" s="8"/>
      <c r="K8" s="10" t="str">
        <f t="shared" si="0"/>
        <v/>
      </c>
      <c r="L8" s="8"/>
    </row>
    <row r="9" spans="1:24" ht="15">
      <c r="A9" s="9"/>
      <c r="B9" s="8" t="s">
        <v>107</v>
      </c>
      <c r="C9" s="8"/>
      <c r="D9" s="8"/>
      <c r="E9" s="8"/>
      <c r="F9" s="8" t="s">
        <v>81</v>
      </c>
      <c r="G9" s="8"/>
      <c r="H9" s="8"/>
      <c r="I9" s="8"/>
      <c r="J9" s="8"/>
      <c r="K9" s="10" t="str">
        <f t="shared" si="0"/>
        <v/>
      </c>
      <c r="L9" s="8"/>
    </row>
    <row r="10" spans="1:24" ht="15">
      <c r="A10" s="9"/>
      <c r="B10" s="8" t="s">
        <v>107</v>
      </c>
      <c r="C10" s="8"/>
      <c r="D10" s="8"/>
      <c r="E10" s="8"/>
      <c r="F10" s="8" t="s">
        <v>81</v>
      </c>
      <c r="G10" s="8"/>
      <c r="H10" s="8"/>
      <c r="I10" s="8"/>
      <c r="J10" s="8"/>
      <c r="K10" s="10" t="str">
        <f t="shared" si="0"/>
        <v/>
      </c>
      <c r="L10" s="8"/>
    </row>
    <row r="11" spans="1:24" ht="15">
      <c r="A11" s="9"/>
      <c r="B11" s="8" t="s">
        <v>107</v>
      </c>
      <c r="C11" s="8"/>
      <c r="D11" s="8"/>
      <c r="E11" s="8"/>
      <c r="F11" s="8" t="s">
        <v>81</v>
      </c>
      <c r="G11" s="8"/>
      <c r="H11" s="8"/>
      <c r="I11" s="8"/>
      <c r="J11" s="8"/>
      <c r="K11" s="10" t="str">
        <f t="shared" si="0"/>
        <v/>
      </c>
      <c r="L11" s="8"/>
    </row>
    <row r="12" spans="1:24" ht="15">
      <c r="A12" s="9"/>
      <c r="B12" s="8" t="s">
        <v>107</v>
      </c>
      <c r="C12" s="8"/>
      <c r="D12" s="8"/>
      <c r="E12" s="8"/>
      <c r="F12" s="8" t="s">
        <v>81</v>
      </c>
      <c r="G12" s="8"/>
      <c r="H12" s="8"/>
      <c r="I12" s="8"/>
      <c r="J12" s="8"/>
      <c r="K12" s="10" t="str">
        <f t="shared" si="0"/>
        <v/>
      </c>
      <c r="L12" s="8"/>
    </row>
    <row r="13" spans="1:24" ht="15">
      <c r="A13" s="9"/>
      <c r="B13" s="8" t="s">
        <v>107</v>
      </c>
      <c r="C13" s="8"/>
      <c r="D13" s="8"/>
      <c r="E13" s="8"/>
      <c r="F13" s="8" t="s">
        <v>81</v>
      </c>
      <c r="G13" s="8"/>
      <c r="H13" s="8"/>
      <c r="I13" s="8"/>
      <c r="J13" s="8"/>
      <c r="K13" s="10" t="str">
        <f t="shared" si="0"/>
        <v/>
      </c>
      <c r="L13" s="8"/>
    </row>
    <row r="14" spans="1:24" ht="15">
      <c r="A14" s="9"/>
      <c r="B14" s="8" t="s">
        <v>107</v>
      </c>
      <c r="C14" s="8"/>
      <c r="D14" s="8"/>
      <c r="E14" s="8"/>
      <c r="F14" s="8" t="s">
        <v>81</v>
      </c>
      <c r="G14" s="8"/>
      <c r="H14" s="8"/>
      <c r="I14" s="8"/>
      <c r="J14" s="8"/>
      <c r="K14" s="10" t="str">
        <f t="shared" si="0"/>
        <v/>
      </c>
      <c r="L14" s="8"/>
    </row>
    <row r="15" spans="1:24" ht="15">
      <c r="A15" s="9"/>
      <c r="B15" s="8" t="s">
        <v>107</v>
      </c>
      <c r="C15" s="8"/>
      <c r="D15" s="8"/>
      <c r="E15" s="8"/>
      <c r="F15" s="8" t="s">
        <v>81</v>
      </c>
      <c r="G15" s="8"/>
      <c r="H15" s="8"/>
      <c r="I15" s="8"/>
      <c r="J15" s="8"/>
      <c r="K15" s="10" t="str">
        <f t="shared" si="0"/>
        <v/>
      </c>
      <c r="L15" s="8"/>
    </row>
    <row r="16" spans="1:24" ht="15">
      <c r="A16" s="9"/>
      <c r="B16" s="8" t="s">
        <v>107</v>
      </c>
      <c r="C16" s="8"/>
      <c r="D16" s="8"/>
      <c r="E16" s="8"/>
      <c r="F16" s="8" t="s">
        <v>81</v>
      </c>
      <c r="G16" s="8"/>
      <c r="H16" s="8"/>
      <c r="I16" s="8"/>
      <c r="J16" s="8"/>
      <c r="K16" s="10" t="str">
        <f t="shared" si="0"/>
        <v/>
      </c>
      <c r="L16" s="8"/>
    </row>
    <row r="17" spans="1:12" ht="15">
      <c r="A17" s="9"/>
      <c r="B17" s="8" t="s">
        <v>107</v>
      </c>
      <c r="C17" s="8"/>
      <c r="D17" s="8"/>
      <c r="E17" s="8"/>
      <c r="F17" s="8" t="s">
        <v>81</v>
      </c>
      <c r="G17" s="8"/>
      <c r="H17" s="8"/>
      <c r="I17" s="8"/>
      <c r="J17" s="8"/>
      <c r="K17" s="10" t="str">
        <f t="shared" si="0"/>
        <v/>
      </c>
      <c r="L17" s="8"/>
    </row>
    <row r="18" spans="1:12" ht="15">
      <c r="A18" s="9"/>
      <c r="B18" s="8" t="s">
        <v>107</v>
      </c>
      <c r="C18" s="8"/>
      <c r="D18" s="8"/>
      <c r="E18" s="8"/>
      <c r="F18" s="8" t="s">
        <v>81</v>
      </c>
      <c r="G18" s="8"/>
      <c r="H18" s="8"/>
      <c r="I18" s="8"/>
      <c r="J18" s="8"/>
      <c r="K18" s="10" t="str">
        <f t="shared" si="0"/>
        <v/>
      </c>
      <c r="L18" s="8"/>
    </row>
    <row r="19" spans="1:12" ht="15">
      <c r="A19" s="9"/>
      <c r="B19" s="8" t="s">
        <v>107</v>
      </c>
      <c r="C19" s="8"/>
      <c r="D19" s="8"/>
      <c r="E19" s="8"/>
      <c r="F19" s="8" t="s">
        <v>81</v>
      </c>
      <c r="G19" s="8"/>
      <c r="H19" s="8"/>
      <c r="I19" s="8"/>
      <c r="J19" s="8"/>
      <c r="K19" s="10" t="str">
        <f t="shared" si="0"/>
        <v/>
      </c>
      <c r="L19" s="8"/>
    </row>
    <row r="20" spans="1:12" ht="15">
      <c r="A20" s="9"/>
      <c r="B20" s="8" t="s">
        <v>107</v>
      </c>
      <c r="C20" s="8"/>
      <c r="D20" s="8"/>
      <c r="E20" s="8"/>
      <c r="F20" s="8" t="s">
        <v>81</v>
      </c>
      <c r="G20" s="8"/>
      <c r="H20" s="8"/>
      <c r="I20" s="8"/>
      <c r="J20" s="8"/>
      <c r="K20" s="10" t="str">
        <f t="shared" si="0"/>
        <v/>
      </c>
      <c r="L20" s="8"/>
    </row>
    <row r="21" spans="1:12" ht="15">
      <c r="A21" s="9"/>
      <c r="B21" s="8" t="s">
        <v>107</v>
      </c>
      <c r="C21" s="8"/>
      <c r="D21" s="8"/>
      <c r="E21" s="8"/>
      <c r="F21" s="8" t="s">
        <v>81</v>
      </c>
      <c r="G21" s="8"/>
      <c r="H21" s="8"/>
      <c r="I21" s="8"/>
      <c r="J21" s="8"/>
      <c r="K21" s="10" t="str">
        <f t="shared" si="0"/>
        <v/>
      </c>
      <c r="L21" s="8"/>
    </row>
    <row r="22" spans="1:12" ht="15">
      <c r="A22" s="9"/>
      <c r="B22" s="8" t="s">
        <v>107</v>
      </c>
      <c r="C22" s="8"/>
      <c r="D22" s="8"/>
      <c r="E22" s="8"/>
      <c r="F22" s="8" t="s">
        <v>81</v>
      </c>
      <c r="G22" s="8"/>
      <c r="H22" s="8"/>
      <c r="I22" s="8"/>
      <c r="J22" s="8"/>
      <c r="K22" s="10" t="str">
        <f t="shared" si="0"/>
        <v/>
      </c>
      <c r="L22" s="8"/>
    </row>
    <row r="23" spans="1:12" ht="15">
      <c r="A23" s="9"/>
      <c r="B23" s="8" t="s">
        <v>107</v>
      </c>
      <c r="C23" s="8"/>
      <c r="D23" s="8"/>
      <c r="E23" s="8"/>
      <c r="F23" s="8" t="s">
        <v>81</v>
      </c>
      <c r="G23" s="8"/>
      <c r="H23" s="8"/>
      <c r="I23" s="8"/>
      <c r="J23" s="8"/>
      <c r="K23" s="10" t="str">
        <f t="shared" si="0"/>
        <v/>
      </c>
      <c r="L23" s="8"/>
    </row>
    <row r="24" spans="1:12" ht="15">
      <c r="A24" s="9"/>
      <c r="B24" s="8" t="s">
        <v>107</v>
      </c>
      <c r="C24" s="8"/>
      <c r="D24" s="8"/>
      <c r="E24" s="8"/>
      <c r="F24" s="8" t="s">
        <v>81</v>
      </c>
      <c r="G24" s="8"/>
      <c r="H24" s="8"/>
      <c r="I24" s="8"/>
      <c r="J24" s="8"/>
      <c r="K24" s="10" t="str">
        <f t="shared" si="0"/>
        <v/>
      </c>
      <c r="L24" s="8"/>
    </row>
    <row r="25" spans="1:12" ht="15">
      <c r="A25" s="9"/>
      <c r="B25" s="8" t="s">
        <v>107</v>
      </c>
      <c r="C25" s="8"/>
      <c r="D25" s="8"/>
      <c r="E25" s="8"/>
      <c r="F25" s="8" t="s">
        <v>81</v>
      </c>
      <c r="G25" s="8"/>
      <c r="H25" s="8"/>
      <c r="I25" s="8"/>
      <c r="J25" s="8"/>
      <c r="K25" s="10" t="str">
        <f t="shared" si="0"/>
        <v/>
      </c>
      <c r="L25" s="8"/>
    </row>
    <row r="26" spans="1:12" ht="15">
      <c r="A26" s="9"/>
      <c r="B26" s="8" t="s">
        <v>107</v>
      </c>
      <c r="C26" s="8"/>
      <c r="D26" s="8"/>
      <c r="E26" s="8"/>
      <c r="F26" s="8" t="s">
        <v>81</v>
      </c>
      <c r="G26" s="8"/>
      <c r="H26" s="8"/>
      <c r="I26" s="8"/>
      <c r="J26" s="8"/>
      <c r="K26" s="10" t="str">
        <f t="shared" si="0"/>
        <v/>
      </c>
      <c r="L26" s="8"/>
    </row>
    <row r="27" spans="1:12" ht="15">
      <c r="A27" s="9"/>
      <c r="B27" s="8" t="s">
        <v>107</v>
      </c>
      <c r="C27" s="8"/>
      <c r="D27" s="8"/>
      <c r="E27" s="8"/>
      <c r="F27" s="8" t="s">
        <v>81</v>
      </c>
      <c r="G27" s="8"/>
      <c r="H27" s="8"/>
      <c r="I27" s="8"/>
      <c r="J27" s="8"/>
      <c r="K27" s="10" t="str">
        <f t="shared" si="0"/>
        <v/>
      </c>
      <c r="L27" s="8"/>
    </row>
  </sheetData>
  <mergeCells count="2">
    <mergeCell ref="A1:L1"/>
    <mergeCell ref="A2:X2"/>
  </mergeCells>
  <dataValidations count="1">
    <dataValidation type="list" sqref="F4:F27" xr:uid="{00000000-0002-0000-0200-000000000000}">
      <formula1>"Baseline,Containment,Post-Action,Sustain"</formula1>
    </dataValidation>
  </dataValidations>
  <pageMargins left="0.7" right="0.7" top="0.75" bottom="0.75" header="0.3" footer="0.3"/>
  <pageSetup paperSize="9" orientation="portrait" horizontalDpi="0" verticalDpi="0"/>
  <headerFooter>
    <oddHeader>&amp;R&amp;"Aptos"&amp;10&amp;K0000FF Classification:Business / Non-GDPR Data&amp;1#_x000D_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0"/>
  <sheetViews>
    <sheetView showGridLines="0" workbookViewId="0">
      <selection sqref="A1:N1"/>
    </sheetView>
  </sheetViews>
  <sheetFormatPr baseColWidth="10" defaultColWidth="8.83203125" defaultRowHeight="14"/>
  <cols>
    <col min="1" max="1" width="10" customWidth="1"/>
    <col min="2" max="2" width="17" customWidth="1"/>
    <col min="3" max="7" width="19" customWidth="1"/>
    <col min="8" max="13" width="16" customWidth="1"/>
    <col min="14" max="14" width="20" customWidth="1"/>
  </cols>
  <sheetData>
    <row r="1" spans="1:24" ht="30" customHeight="1">
      <c r="A1" s="26" t="s">
        <v>108</v>
      </c>
      <c r="B1" s="26" t="s">
        <v>108</v>
      </c>
      <c r="C1" s="26" t="s">
        <v>108</v>
      </c>
      <c r="D1" s="26" t="s">
        <v>108</v>
      </c>
      <c r="E1" s="26" t="s">
        <v>108</v>
      </c>
      <c r="F1" s="26" t="s">
        <v>108</v>
      </c>
      <c r="G1" s="26" t="s">
        <v>108</v>
      </c>
      <c r="H1" s="26" t="s">
        <v>108</v>
      </c>
      <c r="I1" s="26" t="s">
        <v>108</v>
      </c>
      <c r="J1" s="26" t="s">
        <v>108</v>
      </c>
      <c r="K1" s="26" t="s">
        <v>108</v>
      </c>
      <c r="L1" s="26" t="s">
        <v>108</v>
      </c>
      <c r="M1" s="26" t="s">
        <v>108</v>
      </c>
      <c r="N1" s="26" t="s">
        <v>108</v>
      </c>
    </row>
    <row r="2" spans="1:24">
      <c r="A2" s="27" t="s">
        <v>109</v>
      </c>
      <c r="B2" s="27" t="s">
        <v>109</v>
      </c>
      <c r="C2" s="27" t="s">
        <v>109</v>
      </c>
      <c r="D2" s="27" t="s">
        <v>109</v>
      </c>
      <c r="E2" s="27" t="s">
        <v>109</v>
      </c>
      <c r="F2" s="27" t="s">
        <v>109</v>
      </c>
      <c r="G2" s="27" t="s">
        <v>109</v>
      </c>
      <c r="H2" s="27" t="s">
        <v>109</v>
      </c>
      <c r="I2" s="27" t="s">
        <v>109</v>
      </c>
      <c r="J2" s="27" t="s">
        <v>109</v>
      </c>
      <c r="K2" s="27" t="s">
        <v>109</v>
      </c>
      <c r="L2" s="27" t="s">
        <v>109</v>
      </c>
      <c r="M2" s="27" t="s">
        <v>109</v>
      </c>
      <c r="N2" s="27" t="s">
        <v>109</v>
      </c>
      <c r="O2" s="27" t="s">
        <v>109</v>
      </c>
      <c r="P2" s="27" t="s">
        <v>109</v>
      </c>
      <c r="Q2" s="27" t="s">
        <v>109</v>
      </c>
      <c r="R2" s="27" t="s">
        <v>109</v>
      </c>
      <c r="S2" s="27" t="s">
        <v>109</v>
      </c>
      <c r="T2" s="27" t="s">
        <v>109</v>
      </c>
      <c r="U2" s="27" t="s">
        <v>109</v>
      </c>
      <c r="V2" s="27" t="s">
        <v>109</v>
      </c>
      <c r="W2" s="27" t="s">
        <v>109</v>
      </c>
      <c r="X2" s="27" t="s">
        <v>109</v>
      </c>
    </row>
    <row r="3" spans="1:24">
      <c r="A3" s="19" t="s">
        <v>110</v>
      </c>
      <c r="B3" s="19" t="s">
        <v>110</v>
      </c>
      <c r="C3" s="19" t="s">
        <v>110</v>
      </c>
      <c r="D3" s="19" t="s">
        <v>110</v>
      </c>
      <c r="E3" s="19" t="s">
        <v>110</v>
      </c>
      <c r="F3" s="19" t="s">
        <v>110</v>
      </c>
      <c r="G3" s="19" t="s">
        <v>110</v>
      </c>
      <c r="H3" s="19" t="s">
        <v>110</v>
      </c>
      <c r="I3" s="19" t="s">
        <v>110</v>
      </c>
      <c r="J3" s="19" t="s">
        <v>110</v>
      </c>
      <c r="K3" s="19" t="s">
        <v>110</v>
      </c>
      <c r="L3" s="19" t="s">
        <v>110</v>
      </c>
      <c r="M3" s="19" t="s">
        <v>110</v>
      </c>
      <c r="N3" s="19" t="s">
        <v>110</v>
      </c>
    </row>
    <row r="4" spans="1:24" ht="32">
      <c r="A4" s="1" t="s">
        <v>111</v>
      </c>
      <c r="B4" s="1" t="s">
        <v>112</v>
      </c>
      <c r="C4" s="1" t="s">
        <v>113</v>
      </c>
      <c r="D4" s="1" t="s">
        <v>114</v>
      </c>
      <c r="E4" s="1" t="s">
        <v>115</v>
      </c>
      <c r="F4" s="1" t="s">
        <v>116</v>
      </c>
      <c r="G4" s="1" t="s">
        <v>117</v>
      </c>
      <c r="H4" s="1" t="s">
        <v>118</v>
      </c>
      <c r="I4" s="1" t="s">
        <v>119</v>
      </c>
      <c r="J4" s="1" t="s">
        <v>120</v>
      </c>
      <c r="K4" s="1" t="s">
        <v>121</v>
      </c>
      <c r="L4" s="1" t="s">
        <v>122</v>
      </c>
      <c r="M4" s="1" t="s">
        <v>123</v>
      </c>
      <c r="N4" s="1" t="s">
        <v>90</v>
      </c>
    </row>
    <row r="5" spans="1:24" ht="15">
      <c r="A5" t="s">
        <v>124</v>
      </c>
      <c r="B5" s="8" t="s">
        <v>125</v>
      </c>
      <c r="C5" s="8"/>
      <c r="D5" s="8" t="s">
        <v>126</v>
      </c>
      <c r="E5" s="8"/>
      <c r="F5" s="8"/>
      <c r="G5" s="8"/>
      <c r="H5" s="8"/>
      <c r="I5" s="9"/>
      <c r="J5" s="8"/>
      <c r="K5" s="8" t="s">
        <v>127</v>
      </c>
      <c r="L5" s="8" t="s">
        <v>128</v>
      </c>
      <c r="M5" s="8"/>
      <c r="N5" s="8"/>
    </row>
    <row r="6" spans="1:24" ht="15">
      <c r="A6" t="s">
        <v>129</v>
      </c>
      <c r="B6" s="8" t="s">
        <v>93</v>
      </c>
      <c r="C6" s="8"/>
      <c r="D6" s="8" t="s">
        <v>126</v>
      </c>
      <c r="E6" s="8"/>
      <c r="F6" s="8"/>
      <c r="G6" s="8"/>
      <c r="H6" s="8"/>
      <c r="I6" s="9"/>
      <c r="J6" s="8"/>
      <c r="K6" s="8" t="s">
        <v>127</v>
      </c>
      <c r="L6" s="8" t="s">
        <v>128</v>
      </c>
      <c r="M6" s="8"/>
      <c r="N6" s="8"/>
    </row>
    <row r="7" spans="1:24" ht="15">
      <c r="A7" t="s">
        <v>130</v>
      </c>
      <c r="B7" s="8" t="s">
        <v>131</v>
      </c>
      <c r="C7" s="8"/>
      <c r="D7" s="8" t="s">
        <v>126</v>
      </c>
      <c r="E7" s="8"/>
      <c r="F7" s="8"/>
      <c r="G7" s="8"/>
      <c r="H7" s="8"/>
      <c r="I7" s="9"/>
      <c r="J7" s="8"/>
      <c r="K7" s="8" t="s">
        <v>127</v>
      </c>
      <c r="L7" s="8" t="s">
        <v>128</v>
      </c>
      <c r="M7" s="8"/>
      <c r="N7" s="8"/>
    </row>
    <row r="8" spans="1:24" ht="15">
      <c r="A8" t="s">
        <v>132</v>
      </c>
      <c r="B8" s="8" t="s">
        <v>133</v>
      </c>
      <c r="C8" s="8"/>
      <c r="D8" s="8" t="s">
        <v>126</v>
      </c>
      <c r="E8" s="8"/>
      <c r="F8" s="8"/>
      <c r="G8" s="8"/>
      <c r="H8" s="8"/>
      <c r="I8" s="9"/>
      <c r="J8" s="8"/>
      <c r="K8" s="8" t="s">
        <v>127</v>
      </c>
      <c r="L8" s="8" t="s">
        <v>128</v>
      </c>
      <c r="M8" s="8"/>
      <c r="N8" s="8"/>
    </row>
    <row r="9" spans="1:24" ht="15">
      <c r="A9" t="s">
        <v>134</v>
      </c>
      <c r="B9" s="8" t="s">
        <v>135</v>
      </c>
      <c r="C9" s="8"/>
      <c r="D9" s="8" t="s">
        <v>136</v>
      </c>
      <c r="E9" s="8"/>
      <c r="F9" s="8"/>
      <c r="G9" s="8"/>
      <c r="H9" s="8"/>
      <c r="I9" s="9"/>
      <c r="J9" s="8"/>
      <c r="K9" s="8" t="s">
        <v>127</v>
      </c>
      <c r="L9" s="8" t="s">
        <v>128</v>
      </c>
      <c r="M9" s="8"/>
      <c r="N9" s="8"/>
    </row>
    <row r="10" spans="1:24" ht="15">
      <c r="A10" t="s">
        <v>137</v>
      </c>
      <c r="B10" s="8" t="s">
        <v>138</v>
      </c>
      <c r="C10" s="8"/>
      <c r="D10" s="8" t="s">
        <v>139</v>
      </c>
      <c r="E10" s="8"/>
      <c r="F10" s="8"/>
      <c r="G10" s="8"/>
      <c r="H10" s="8"/>
      <c r="I10" s="9"/>
      <c r="J10" s="8"/>
      <c r="K10" s="8" t="s">
        <v>127</v>
      </c>
      <c r="L10" s="8" t="s">
        <v>128</v>
      </c>
      <c r="M10" s="8"/>
      <c r="N10" s="8"/>
    </row>
    <row r="11" spans="1:24" ht="30">
      <c r="A11" t="s">
        <v>140</v>
      </c>
      <c r="B11" s="8" t="s">
        <v>141</v>
      </c>
      <c r="C11" s="8"/>
      <c r="D11" s="8" t="s">
        <v>139</v>
      </c>
      <c r="E11" s="8"/>
      <c r="F11" s="8"/>
      <c r="G11" s="8"/>
      <c r="H11" s="8"/>
      <c r="I11" s="9"/>
      <c r="J11" s="8"/>
      <c r="K11" s="8" t="s">
        <v>127</v>
      </c>
      <c r="L11" s="8" t="s">
        <v>128</v>
      </c>
      <c r="M11" s="8"/>
      <c r="N11" s="8"/>
    </row>
    <row r="13" spans="1:24">
      <c r="A13" s="19" t="s">
        <v>142</v>
      </c>
      <c r="B13" s="19" t="s">
        <v>142</v>
      </c>
      <c r="C13" s="19" t="s">
        <v>142</v>
      </c>
      <c r="D13" s="19" t="s">
        <v>142</v>
      </c>
      <c r="E13" s="19" t="s">
        <v>142</v>
      </c>
      <c r="F13" s="19" t="s">
        <v>142</v>
      </c>
      <c r="G13" s="19" t="s">
        <v>142</v>
      </c>
      <c r="H13" s="19" t="s">
        <v>142</v>
      </c>
      <c r="I13" s="19" t="s">
        <v>142</v>
      </c>
      <c r="J13" s="19" t="s">
        <v>142</v>
      </c>
      <c r="K13" s="19" t="s">
        <v>142</v>
      </c>
      <c r="L13" s="19" t="s">
        <v>142</v>
      </c>
      <c r="M13" s="19" t="s">
        <v>142</v>
      </c>
      <c r="N13" s="19" t="s">
        <v>142</v>
      </c>
    </row>
    <row r="14" spans="1:24" ht="32">
      <c r="A14" s="1" t="s">
        <v>143</v>
      </c>
      <c r="B14" s="1" t="s">
        <v>144</v>
      </c>
      <c r="C14" s="1" t="s">
        <v>145</v>
      </c>
      <c r="D14" s="1" t="s">
        <v>146</v>
      </c>
      <c r="E14" s="1" t="s">
        <v>147</v>
      </c>
      <c r="F14" s="1" t="s">
        <v>148</v>
      </c>
      <c r="G14" s="1" t="s">
        <v>149</v>
      </c>
      <c r="H14" s="1" t="s">
        <v>150</v>
      </c>
      <c r="I14" s="1" t="s">
        <v>151</v>
      </c>
      <c r="J14" s="1" t="s">
        <v>88</v>
      </c>
      <c r="K14" s="1" t="s">
        <v>152</v>
      </c>
      <c r="L14" s="1" t="s">
        <v>121</v>
      </c>
      <c r="M14" s="1" t="s">
        <v>111</v>
      </c>
      <c r="N14" s="1" t="s">
        <v>89</v>
      </c>
    </row>
    <row r="15" spans="1:24" ht="15">
      <c r="A15" t="s">
        <v>153</v>
      </c>
      <c r="B15" s="8" t="s">
        <v>126</v>
      </c>
      <c r="C15" s="8"/>
      <c r="D15" s="8"/>
      <c r="E15" s="8"/>
      <c r="F15" s="8"/>
      <c r="G15" s="8"/>
      <c r="H15" s="8"/>
      <c r="I15" s="8"/>
      <c r="J15" s="8"/>
      <c r="K15" s="8"/>
      <c r="L15" s="8" t="s">
        <v>127</v>
      </c>
      <c r="M15" s="8"/>
      <c r="N15" s="8"/>
    </row>
    <row r="16" spans="1:24" ht="15">
      <c r="A16" t="s">
        <v>154</v>
      </c>
      <c r="B16" s="8" t="s">
        <v>136</v>
      </c>
      <c r="C16" s="8"/>
      <c r="D16" s="8"/>
      <c r="E16" s="8"/>
      <c r="F16" s="8"/>
      <c r="G16" s="8"/>
      <c r="H16" s="8"/>
      <c r="I16" s="8"/>
      <c r="J16" s="8"/>
      <c r="K16" s="8"/>
      <c r="L16" s="8" t="s">
        <v>127</v>
      </c>
      <c r="M16" s="8"/>
      <c r="N16" s="8"/>
    </row>
    <row r="17" spans="1:14" ht="15">
      <c r="A17" t="s">
        <v>155</v>
      </c>
      <c r="B17" s="8" t="s">
        <v>139</v>
      </c>
      <c r="C17" s="8"/>
      <c r="D17" s="8"/>
      <c r="E17" s="8"/>
      <c r="F17" s="8"/>
      <c r="G17" s="8"/>
      <c r="H17" s="8"/>
      <c r="I17" s="8"/>
      <c r="J17" s="8"/>
      <c r="K17" s="8"/>
      <c r="L17" s="8" t="s">
        <v>127</v>
      </c>
      <c r="M17" s="8"/>
      <c r="N17" s="8"/>
    </row>
    <row r="18" spans="1:14" ht="15">
      <c r="A18" t="s">
        <v>156</v>
      </c>
      <c r="B18" s="8" t="s">
        <v>126</v>
      </c>
      <c r="C18" s="8"/>
      <c r="D18" s="8"/>
      <c r="E18" s="8"/>
      <c r="F18" s="8"/>
      <c r="G18" s="8"/>
      <c r="H18" s="8"/>
      <c r="I18" s="8"/>
      <c r="J18" s="8"/>
      <c r="K18" s="8"/>
      <c r="L18" s="8" t="s">
        <v>127</v>
      </c>
      <c r="M18" s="8"/>
      <c r="N18" s="8"/>
    </row>
    <row r="19" spans="1:14" ht="15">
      <c r="A19" t="s">
        <v>157</v>
      </c>
      <c r="B19" s="8" t="s">
        <v>136</v>
      </c>
      <c r="C19" s="8"/>
      <c r="D19" s="8"/>
      <c r="E19" s="8"/>
      <c r="F19" s="8"/>
      <c r="G19" s="8"/>
      <c r="H19" s="8"/>
      <c r="I19" s="8"/>
      <c r="J19" s="8"/>
      <c r="K19" s="8"/>
      <c r="L19" s="8" t="s">
        <v>127</v>
      </c>
      <c r="M19" s="8"/>
      <c r="N19" s="8"/>
    </row>
    <row r="20" spans="1:14" ht="15">
      <c r="A20" t="s">
        <v>158</v>
      </c>
      <c r="B20" s="8" t="s">
        <v>139</v>
      </c>
      <c r="C20" s="8"/>
      <c r="D20" s="8"/>
      <c r="E20" s="8"/>
      <c r="F20" s="8"/>
      <c r="G20" s="8"/>
      <c r="H20" s="8"/>
      <c r="I20" s="8"/>
      <c r="J20" s="8"/>
      <c r="K20" s="8"/>
      <c r="L20" s="8" t="s">
        <v>127</v>
      </c>
      <c r="M20" s="8"/>
      <c r="N20" s="8"/>
    </row>
    <row r="21" spans="1:14" ht="15">
      <c r="A21" t="s">
        <v>159</v>
      </c>
      <c r="B21" s="8" t="s">
        <v>126</v>
      </c>
      <c r="C21" s="8"/>
      <c r="D21" s="8"/>
      <c r="E21" s="8"/>
      <c r="F21" s="8"/>
      <c r="G21" s="8"/>
      <c r="H21" s="8"/>
      <c r="I21" s="8"/>
      <c r="J21" s="8"/>
      <c r="K21" s="8"/>
      <c r="L21" s="8" t="s">
        <v>127</v>
      </c>
      <c r="M21" s="8"/>
      <c r="N21" s="8"/>
    </row>
    <row r="22" spans="1:14" ht="15">
      <c r="A22" t="s">
        <v>160</v>
      </c>
      <c r="B22" s="8" t="s">
        <v>136</v>
      </c>
      <c r="C22" s="8"/>
      <c r="D22" s="8"/>
      <c r="E22" s="8"/>
      <c r="F22" s="8"/>
      <c r="G22" s="8"/>
      <c r="H22" s="8"/>
      <c r="I22" s="8"/>
      <c r="J22" s="8"/>
      <c r="K22" s="8"/>
      <c r="L22" s="8" t="s">
        <v>127</v>
      </c>
      <c r="M22" s="8"/>
      <c r="N22" s="8"/>
    </row>
    <row r="24" spans="1:14">
      <c r="A24" s="19" t="s">
        <v>161</v>
      </c>
      <c r="B24" s="19" t="s">
        <v>161</v>
      </c>
      <c r="C24" s="19" t="s">
        <v>161</v>
      </c>
      <c r="D24" s="19" t="s">
        <v>161</v>
      </c>
      <c r="E24" s="19" t="s">
        <v>161</v>
      </c>
      <c r="F24" s="19" t="s">
        <v>161</v>
      </c>
      <c r="G24" s="19" t="s">
        <v>161</v>
      </c>
      <c r="H24" s="19" t="s">
        <v>161</v>
      </c>
      <c r="I24" s="19" t="s">
        <v>161</v>
      </c>
      <c r="J24" s="19" t="s">
        <v>161</v>
      </c>
      <c r="K24" s="19" t="s">
        <v>161</v>
      </c>
      <c r="L24" s="19" t="s">
        <v>161</v>
      </c>
      <c r="M24" s="19" t="s">
        <v>161</v>
      </c>
      <c r="N24" s="19" t="s">
        <v>161</v>
      </c>
    </row>
    <row r="25" spans="1:14" ht="48">
      <c r="A25" s="1" t="s">
        <v>111</v>
      </c>
      <c r="B25" s="1" t="s">
        <v>162</v>
      </c>
      <c r="C25" s="1" t="s">
        <v>163</v>
      </c>
      <c r="D25" s="1" t="s">
        <v>164</v>
      </c>
      <c r="E25" s="1" t="s">
        <v>165</v>
      </c>
      <c r="F25" s="1" t="s">
        <v>120</v>
      </c>
      <c r="G25" s="1" t="s">
        <v>166</v>
      </c>
      <c r="H25" s="1" t="s">
        <v>167</v>
      </c>
      <c r="I25" s="1" t="s">
        <v>168</v>
      </c>
      <c r="J25" s="1" t="s">
        <v>169</v>
      </c>
      <c r="K25" s="1" t="s">
        <v>170</v>
      </c>
      <c r="L25" s="1" t="s">
        <v>171</v>
      </c>
      <c r="M25" s="1" t="s">
        <v>172</v>
      </c>
      <c r="N25" s="1" t="s">
        <v>90</v>
      </c>
    </row>
    <row r="26" spans="1:14" ht="15">
      <c r="A26" s="8"/>
      <c r="B26" s="8"/>
      <c r="C26" s="8"/>
      <c r="D26" s="8"/>
      <c r="E26" s="8"/>
      <c r="F26" s="8"/>
      <c r="G26" s="11"/>
      <c r="H26" s="8"/>
      <c r="I26" s="9"/>
      <c r="J26" s="8" t="s">
        <v>173</v>
      </c>
      <c r="K26" s="8"/>
      <c r="L26" s="8"/>
      <c r="M26" s="8"/>
      <c r="N26" s="8"/>
    </row>
    <row r="27" spans="1:14" ht="15">
      <c r="A27" s="8"/>
      <c r="B27" s="8"/>
      <c r="C27" s="8"/>
      <c r="D27" s="8"/>
      <c r="E27" s="8"/>
      <c r="F27" s="8"/>
      <c r="G27" s="11"/>
      <c r="H27" s="8"/>
      <c r="I27" s="9"/>
      <c r="J27" s="8" t="s">
        <v>173</v>
      </c>
      <c r="K27" s="8"/>
      <c r="L27" s="8"/>
      <c r="M27" s="8"/>
      <c r="N27" s="8"/>
    </row>
    <row r="28" spans="1:14" ht="15">
      <c r="A28" s="8"/>
      <c r="B28" s="8"/>
      <c r="C28" s="8"/>
      <c r="D28" s="8"/>
      <c r="E28" s="8"/>
      <c r="F28" s="8"/>
      <c r="G28" s="11"/>
      <c r="H28" s="8"/>
      <c r="I28" s="9"/>
      <c r="J28" s="8" t="s">
        <v>173</v>
      </c>
      <c r="K28" s="8"/>
      <c r="L28" s="8"/>
      <c r="M28" s="8"/>
      <c r="N28" s="8"/>
    </row>
    <row r="29" spans="1:14" ht="15">
      <c r="A29" s="8"/>
      <c r="B29" s="8"/>
      <c r="C29" s="8"/>
      <c r="D29" s="8"/>
      <c r="E29" s="8"/>
      <c r="F29" s="8"/>
      <c r="G29" s="11"/>
      <c r="H29" s="8"/>
      <c r="I29" s="9"/>
      <c r="J29" s="8" t="s">
        <v>173</v>
      </c>
      <c r="K29" s="8"/>
      <c r="L29" s="8"/>
      <c r="M29" s="8"/>
      <c r="N29" s="8"/>
    </row>
    <row r="30" spans="1:14" ht="15">
      <c r="A30" s="8"/>
      <c r="B30" s="8"/>
      <c r="C30" s="8"/>
      <c r="D30" s="8"/>
      <c r="E30" s="8"/>
      <c r="F30" s="8"/>
      <c r="G30" s="11"/>
      <c r="H30" s="8"/>
      <c r="I30" s="9"/>
      <c r="J30" s="8" t="s">
        <v>173</v>
      </c>
      <c r="K30" s="8"/>
      <c r="L30" s="8"/>
      <c r="M30" s="8"/>
      <c r="N30" s="8"/>
    </row>
  </sheetData>
  <mergeCells count="5">
    <mergeCell ref="A1:N1"/>
    <mergeCell ref="A2:X2"/>
    <mergeCell ref="A3:N3"/>
    <mergeCell ref="A13:N13"/>
    <mergeCell ref="A24:N24"/>
  </mergeCells>
  <dataValidations count="5">
    <dataValidation type="list" sqref="D5:D11" xr:uid="{00000000-0002-0000-0300-000000000000}">
      <formula1>"Occurrence,Escape,Systemic,Direct,Contributing"</formula1>
    </dataValidation>
    <dataValidation type="list" sqref="K5:K11 L15:L22" xr:uid="{00000000-0002-0000-0300-000001000000}">
      <formula1>"Not Tested,Planned,Verified,Rejected"</formula1>
    </dataValidation>
    <dataValidation type="list" sqref="L5:L11" xr:uid="{00000000-0002-0000-0300-000002000000}">
      <formula1>"Yes,No"</formula1>
    </dataValidation>
    <dataValidation type="list" sqref="B15:B22 C26:C30" xr:uid="{00000000-0002-0000-0300-000003000000}">
      <formula1>"Occurrence,Escape,Systemic"</formula1>
    </dataValidation>
    <dataValidation type="list" sqref="J26:J30" xr:uid="{00000000-0002-0000-0300-000006000000}">
      <formula1>"Draft,Under Review,Approved,Rejected"</formula1>
    </dataValidation>
  </dataValidations>
  <pageMargins left="0.7" right="0.7" top="0.75" bottom="0.75" header="0.3" footer="0.3"/>
  <pageSetup paperSize="9" orientation="portrait" horizontalDpi="0" verticalDpi="0"/>
  <headerFooter>
    <oddHeader>&amp;R&amp;"Aptos"&amp;10&amp;K0000FF Classification:Business / Non-GDPR Data&amp;1#_x000D_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8"/>
  <sheetViews>
    <sheetView showGridLines="0" workbookViewId="0"/>
  </sheetViews>
  <sheetFormatPr baseColWidth="10" defaultColWidth="8.83203125" defaultRowHeight="14"/>
  <cols>
    <col min="1" max="1" width="9" customWidth="1"/>
    <col min="2" max="2" width="14" customWidth="1"/>
    <col min="3" max="3" width="30" customWidth="1"/>
    <col min="4" max="4" width="14" customWidth="1"/>
    <col min="5" max="5" width="20" customWidth="1"/>
    <col min="6" max="8" width="14" customWidth="1"/>
    <col min="9" max="9" width="12" customWidth="1"/>
    <col min="10" max="12" width="14" customWidth="1"/>
    <col min="13" max="15" width="18" customWidth="1"/>
    <col min="16" max="16" width="22" customWidth="1"/>
  </cols>
  <sheetData>
    <row r="1" spans="1:24" ht="30" customHeight="1">
      <c r="A1" s="26" t="s">
        <v>174</v>
      </c>
      <c r="B1" s="26" t="s">
        <v>174</v>
      </c>
      <c r="C1" s="26" t="s">
        <v>174</v>
      </c>
      <c r="D1" s="26" t="s">
        <v>174</v>
      </c>
      <c r="E1" s="26" t="s">
        <v>174</v>
      </c>
      <c r="F1" s="26" t="s">
        <v>174</v>
      </c>
      <c r="G1" s="26" t="s">
        <v>174</v>
      </c>
      <c r="H1" s="26" t="s">
        <v>174</v>
      </c>
      <c r="I1" s="26" t="s">
        <v>174</v>
      </c>
      <c r="J1" s="26" t="s">
        <v>174</v>
      </c>
      <c r="K1" s="26" t="s">
        <v>174</v>
      </c>
      <c r="L1" s="26" t="s">
        <v>174</v>
      </c>
      <c r="M1" s="26" t="s">
        <v>174</v>
      </c>
      <c r="N1" s="26" t="s">
        <v>174</v>
      </c>
      <c r="O1" s="26" t="s">
        <v>174</v>
      </c>
      <c r="P1" s="26" t="s">
        <v>174</v>
      </c>
    </row>
    <row r="2" spans="1:24">
      <c r="A2" s="27" t="s">
        <v>175</v>
      </c>
      <c r="B2" s="27" t="s">
        <v>175</v>
      </c>
      <c r="C2" s="27" t="s">
        <v>175</v>
      </c>
      <c r="D2" s="27" t="s">
        <v>175</v>
      </c>
      <c r="E2" s="27" t="s">
        <v>175</v>
      </c>
      <c r="F2" s="27" t="s">
        <v>175</v>
      </c>
      <c r="G2" s="27" t="s">
        <v>175</v>
      </c>
      <c r="H2" s="27" t="s">
        <v>175</v>
      </c>
      <c r="I2" s="27" t="s">
        <v>175</v>
      </c>
      <c r="J2" s="27" t="s">
        <v>175</v>
      </c>
      <c r="K2" s="27" t="s">
        <v>175</v>
      </c>
      <c r="L2" s="27" t="s">
        <v>175</v>
      </c>
      <c r="M2" s="27" t="s">
        <v>175</v>
      </c>
      <c r="N2" s="27" t="s">
        <v>175</v>
      </c>
      <c r="O2" s="27" t="s">
        <v>175</v>
      </c>
      <c r="P2" s="27" t="s">
        <v>175</v>
      </c>
      <c r="Q2" s="27" t="s">
        <v>175</v>
      </c>
      <c r="R2" s="27" t="s">
        <v>175</v>
      </c>
      <c r="S2" s="27" t="s">
        <v>175</v>
      </c>
      <c r="T2" s="27" t="s">
        <v>175</v>
      </c>
      <c r="U2" s="27" t="s">
        <v>175</v>
      </c>
      <c r="V2" s="27" t="s">
        <v>175</v>
      </c>
      <c r="W2" s="27" t="s">
        <v>175</v>
      </c>
      <c r="X2" s="27" t="s">
        <v>175</v>
      </c>
    </row>
    <row r="3" spans="1:24" ht="32">
      <c r="A3" s="1" t="s">
        <v>176</v>
      </c>
      <c r="B3" s="1" t="s">
        <v>163</v>
      </c>
      <c r="C3" s="1" t="s">
        <v>177</v>
      </c>
      <c r="D3" s="1" t="s">
        <v>111</v>
      </c>
      <c r="E3" s="1" t="s">
        <v>89</v>
      </c>
      <c r="F3" s="1" t="s">
        <v>178</v>
      </c>
      <c r="G3" s="1" t="s">
        <v>119</v>
      </c>
      <c r="H3" s="1" t="s">
        <v>179</v>
      </c>
      <c r="I3" s="1" t="s">
        <v>180</v>
      </c>
      <c r="J3" s="1" t="s">
        <v>86</v>
      </c>
      <c r="K3" s="1" t="s">
        <v>181</v>
      </c>
      <c r="L3" s="1" t="s">
        <v>182</v>
      </c>
      <c r="M3" s="1" t="s">
        <v>183</v>
      </c>
      <c r="N3" s="1" t="s">
        <v>184</v>
      </c>
      <c r="O3" s="1" t="s">
        <v>185</v>
      </c>
      <c r="P3" s="1" t="s">
        <v>90</v>
      </c>
    </row>
    <row r="4" spans="1:24" ht="15">
      <c r="A4" t="s">
        <v>186</v>
      </c>
      <c r="B4" s="8" t="s">
        <v>187</v>
      </c>
      <c r="C4" s="8"/>
      <c r="D4" s="8"/>
      <c r="E4" s="8"/>
      <c r="F4" s="9"/>
      <c r="G4" s="9"/>
      <c r="H4" s="9"/>
      <c r="I4" s="8" t="s">
        <v>188</v>
      </c>
      <c r="J4" s="8" t="s">
        <v>189</v>
      </c>
      <c r="K4" s="12">
        <f t="shared" ref="K4:K28" ca="1" si="0">IF(OR(G4="",I4="Complete",I4="Cancelled"),0,MAX(0,TODAY()-G4))</f>
        <v>0</v>
      </c>
      <c r="L4" t="str">
        <f t="shared" ref="L4:L28" ca="1" si="1">IF(I4="Complete","Green",IF(I4="Blocked","Red",IF(K4&gt;0,"Red",IF(AND(G4&lt;&gt;"",G4-TODAY()&lt;=3),"Amber","Green"))))</f>
        <v>Green</v>
      </c>
      <c r="M4" s="8"/>
      <c r="N4" s="8"/>
      <c r="O4" s="8"/>
      <c r="P4" s="8"/>
    </row>
    <row r="5" spans="1:24" ht="15">
      <c r="A5" t="s">
        <v>190</v>
      </c>
      <c r="B5" s="8" t="s">
        <v>187</v>
      </c>
      <c r="C5" s="8"/>
      <c r="D5" s="8"/>
      <c r="E5" s="8"/>
      <c r="F5" s="9"/>
      <c r="G5" s="9"/>
      <c r="H5" s="9"/>
      <c r="I5" s="8" t="s">
        <v>188</v>
      </c>
      <c r="J5" s="8" t="s">
        <v>189</v>
      </c>
      <c r="K5" s="12">
        <f t="shared" ca="1" si="0"/>
        <v>0</v>
      </c>
      <c r="L5" t="str">
        <f t="shared" ca="1" si="1"/>
        <v>Green</v>
      </c>
      <c r="M5" s="8"/>
      <c r="N5" s="8"/>
      <c r="O5" s="8"/>
      <c r="P5" s="8"/>
    </row>
    <row r="6" spans="1:24" ht="15">
      <c r="A6" t="s">
        <v>191</v>
      </c>
      <c r="B6" s="8" t="s">
        <v>187</v>
      </c>
      <c r="C6" s="8"/>
      <c r="D6" s="8"/>
      <c r="E6" s="8"/>
      <c r="F6" s="9"/>
      <c r="G6" s="9"/>
      <c r="H6" s="9"/>
      <c r="I6" s="8" t="s">
        <v>188</v>
      </c>
      <c r="J6" s="8" t="s">
        <v>189</v>
      </c>
      <c r="K6" s="12">
        <f t="shared" ca="1" si="0"/>
        <v>0</v>
      </c>
      <c r="L6" t="str">
        <f t="shared" ca="1" si="1"/>
        <v>Green</v>
      </c>
      <c r="M6" s="8"/>
      <c r="N6" s="8"/>
      <c r="O6" s="8"/>
      <c r="P6" s="8"/>
    </row>
    <row r="7" spans="1:24" ht="15">
      <c r="A7" t="s">
        <v>192</v>
      </c>
      <c r="B7" s="8" t="s">
        <v>187</v>
      </c>
      <c r="C7" s="8"/>
      <c r="D7" s="8"/>
      <c r="E7" s="8"/>
      <c r="F7" s="9"/>
      <c r="G7" s="9"/>
      <c r="H7" s="9"/>
      <c r="I7" s="8" t="s">
        <v>188</v>
      </c>
      <c r="J7" s="8" t="s">
        <v>189</v>
      </c>
      <c r="K7" s="12">
        <f t="shared" ca="1" si="0"/>
        <v>0</v>
      </c>
      <c r="L7" t="str">
        <f t="shared" ca="1" si="1"/>
        <v>Green</v>
      </c>
      <c r="M7" s="8"/>
      <c r="N7" s="8"/>
      <c r="O7" s="8"/>
      <c r="P7" s="8"/>
    </row>
    <row r="8" spans="1:24" ht="15">
      <c r="A8" t="s">
        <v>193</v>
      </c>
      <c r="B8" s="8" t="s">
        <v>187</v>
      </c>
      <c r="C8" s="8"/>
      <c r="D8" s="8"/>
      <c r="E8" s="8"/>
      <c r="F8" s="9"/>
      <c r="G8" s="9"/>
      <c r="H8" s="9"/>
      <c r="I8" s="8" t="s">
        <v>188</v>
      </c>
      <c r="J8" s="8" t="s">
        <v>189</v>
      </c>
      <c r="K8" s="12">
        <f t="shared" ca="1" si="0"/>
        <v>0</v>
      </c>
      <c r="L8" t="str">
        <f t="shared" ca="1" si="1"/>
        <v>Green</v>
      </c>
      <c r="M8" s="8"/>
      <c r="N8" s="8"/>
      <c r="O8" s="8"/>
      <c r="P8" s="8"/>
    </row>
    <row r="9" spans="1:24" ht="15">
      <c r="A9" t="s">
        <v>194</v>
      </c>
      <c r="B9" s="8" t="s">
        <v>187</v>
      </c>
      <c r="C9" s="8"/>
      <c r="D9" s="8"/>
      <c r="E9" s="8"/>
      <c r="F9" s="9"/>
      <c r="G9" s="9"/>
      <c r="H9" s="9"/>
      <c r="I9" s="8" t="s">
        <v>188</v>
      </c>
      <c r="J9" s="8" t="s">
        <v>189</v>
      </c>
      <c r="K9" s="12">
        <f t="shared" ca="1" si="0"/>
        <v>0</v>
      </c>
      <c r="L9" t="str">
        <f t="shared" ca="1" si="1"/>
        <v>Green</v>
      </c>
      <c r="M9" s="8"/>
      <c r="N9" s="8"/>
      <c r="O9" s="8"/>
      <c r="P9" s="8"/>
    </row>
    <row r="10" spans="1:24" ht="15">
      <c r="A10" t="s">
        <v>195</v>
      </c>
      <c r="B10" s="8" t="s">
        <v>187</v>
      </c>
      <c r="C10" s="8"/>
      <c r="D10" s="8"/>
      <c r="E10" s="8"/>
      <c r="F10" s="9"/>
      <c r="G10" s="9"/>
      <c r="H10" s="9"/>
      <c r="I10" s="8" t="s">
        <v>188</v>
      </c>
      <c r="J10" s="8" t="s">
        <v>189</v>
      </c>
      <c r="K10" s="12">
        <f t="shared" ca="1" si="0"/>
        <v>0</v>
      </c>
      <c r="L10" t="str">
        <f t="shared" ca="1" si="1"/>
        <v>Green</v>
      </c>
      <c r="M10" s="8"/>
      <c r="N10" s="8"/>
      <c r="O10" s="8"/>
      <c r="P10" s="8"/>
    </row>
    <row r="11" spans="1:24" ht="15">
      <c r="A11" t="s">
        <v>196</v>
      </c>
      <c r="B11" s="8" t="s">
        <v>187</v>
      </c>
      <c r="C11" s="8"/>
      <c r="D11" s="8"/>
      <c r="E11" s="8"/>
      <c r="F11" s="9"/>
      <c r="G11" s="9"/>
      <c r="H11" s="9"/>
      <c r="I11" s="8" t="s">
        <v>188</v>
      </c>
      <c r="J11" s="8" t="s">
        <v>189</v>
      </c>
      <c r="K11" s="12">
        <f t="shared" ca="1" si="0"/>
        <v>0</v>
      </c>
      <c r="L11" t="str">
        <f t="shared" ca="1" si="1"/>
        <v>Green</v>
      </c>
      <c r="M11" s="8"/>
      <c r="N11" s="8"/>
      <c r="O11" s="8"/>
      <c r="P11" s="8"/>
    </row>
    <row r="12" spans="1:24" ht="15">
      <c r="A12" t="s">
        <v>197</v>
      </c>
      <c r="B12" s="8" t="s">
        <v>187</v>
      </c>
      <c r="C12" s="8"/>
      <c r="D12" s="8"/>
      <c r="E12" s="8"/>
      <c r="F12" s="9"/>
      <c r="G12" s="9"/>
      <c r="H12" s="9"/>
      <c r="I12" s="8" t="s">
        <v>188</v>
      </c>
      <c r="J12" s="8" t="s">
        <v>189</v>
      </c>
      <c r="K12" s="12">
        <f t="shared" ca="1" si="0"/>
        <v>0</v>
      </c>
      <c r="L12" t="str">
        <f t="shared" ca="1" si="1"/>
        <v>Green</v>
      </c>
      <c r="M12" s="8"/>
      <c r="N12" s="8"/>
      <c r="O12" s="8"/>
      <c r="P12" s="8"/>
    </row>
    <row r="13" spans="1:24" ht="15">
      <c r="A13" t="s">
        <v>198</v>
      </c>
      <c r="B13" s="8" t="s">
        <v>187</v>
      </c>
      <c r="C13" s="8"/>
      <c r="D13" s="8"/>
      <c r="E13" s="8"/>
      <c r="F13" s="9"/>
      <c r="G13" s="9"/>
      <c r="H13" s="9"/>
      <c r="I13" s="8" t="s">
        <v>188</v>
      </c>
      <c r="J13" s="8" t="s">
        <v>189</v>
      </c>
      <c r="K13" s="12">
        <f t="shared" ca="1" si="0"/>
        <v>0</v>
      </c>
      <c r="L13" t="str">
        <f t="shared" ca="1" si="1"/>
        <v>Green</v>
      </c>
      <c r="M13" s="8"/>
      <c r="N13" s="8"/>
      <c r="O13" s="8"/>
      <c r="P13" s="8"/>
    </row>
    <row r="14" spans="1:24" ht="15">
      <c r="A14" t="s">
        <v>199</v>
      </c>
      <c r="B14" s="8" t="s">
        <v>187</v>
      </c>
      <c r="C14" s="8"/>
      <c r="D14" s="8"/>
      <c r="E14" s="8"/>
      <c r="F14" s="9"/>
      <c r="G14" s="9"/>
      <c r="H14" s="9"/>
      <c r="I14" s="8" t="s">
        <v>188</v>
      </c>
      <c r="J14" s="8" t="s">
        <v>189</v>
      </c>
      <c r="K14" s="12">
        <f t="shared" ca="1" si="0"/>
        <v>0</v>
      </c>
      <c r="L14" t="str">
        <f t="shared" ca="1" si="1"/>
        <v>Green</v>
      </c>
      <c r="M14" s="8"/>
      <c r="N14" s="8"/>
      <c r="O14" s="8"/>
      <c r="P14" s="8"/>
    </row>
    <row r="15" spans="1:24" ht="15">
      <c r="A15" t="s">
        <v>200</v>
      </c>
      <c r="B15" s="8" t="s">
        <v>187</v>
      </c>
      <c r="C15" s="8"/>
      <c r="D15" s="8"/>
      <c r="E15" s="8"/>
      <c r="F15" s="9"/>
      <c r="G15" s="9"/>
      <c r="H15" s="9"/>
      <c r="I15" s="8" t="s">
        <v>188</v>
      </c>
      <c r="J15" s="8" t="s">
        <v>189</v>
      </c>
      <c r="K15" s="12">
        <f t="shared" ca="1" si="0"/>
        <v>0</v>
      </c>
      <c r="L15" t="str">
        <f t="shared" ca="1" si="1"/>
        <v>Green</v>
      </c>
      <c r="M15" s="8"/>
      <c r="N15" s="8"/>
      <c r="O15" s="8"/>
      <c r="P15" s="8"/>
    </row>
    <row r="16" spans="1:24" ht="15">
      <c r="A16" t="s">
        <v>201</v>
      </c>
      <c r="B16" s="8" t="s">
        <v>187</v>
      </c>
      <c r="C16" s="8"/>
      <c r="D16" s="8"/>
      <c r="E16" s="8"/>
      <c r="F16" s="9"/>
      <c r="G16" s="9"/>
      <c r="H16" s="9"/>
      <c r="I16" s="8" t="s">
        <v>188</v>
      </c>
      <c r="J16" s="8" t="s">
        <v>189</v>
      </c>
      <c r="K16" s="12">
        <f t="shared" ca="1" si="0"/>
        <v>0</v>
      </c>
      <c r="L16" t="str">
        <f t="shared" ca="1" si="1"/>
        <v>Green</v>
      </c>
      <c r="M16" s="8"/>
      <c r="N16" s="8"/>
      <c r="O16" s="8"/>
      <c r="P16" s="8"/>
    </row>
    <row r="17" spans="1:16" ht="15">
      <c r="A17" t="s">
        <v>202</v>
      </c>
      <c r="B17" s="8" t="s">
        <v>187</v>
      </c>
      <c r="C17" s="8"/>
      <c r="D17" s="8"/>
      <c r="E17" s="8"/>
      <c r="F17" s="9"/>
      <c r="G17" s="9"/>
      <c r="H17" s="9"/>
      <c r="I17" s="8" t="s">
        <v>188</v>
      </c>
      <c r="J17" s="8" t="s">
        <v>189</v>
      </c>
      <c r="K17" s="12">
        <f t="shared" ca="1" si="0"/>
        <v>0</v>
      </c>
      <c r="L17" t="str">
        <f t="shared" ca="1" si="1"/>
        <v>Green</v>
      </c>
      <c r="M17" s="8"/>
      <c r="N17" s="8"/>
      <c r="O17" s="8"/>
      <c r="P17" s="8"/>
    </row>
    <row r="18" spans="1:16" ht="15">
      <c r="A18" t="s">
        <v>203</v>
      </c>
      <c r="B18" s="8" t="s">
        <v>187</v>
      </c>
      <c r="C18" s="8"/>
      <c r="D18" s="8"/>
      <c r="E18" s="8"/>
      <c r="F18" s="9"/>
      <c r="G18" s="9"/>
      <c r="H18" s="9"/>
      <c r="I18" s="8" t="s">
        <v>188</v>
      </c>
      <c r="J18" s="8" t="s">
        <v>189</v>
      </c>
      <c r="K18" s="12">
        <f t="shared" ca="1" si="0"/>
        <v>0</v>
      </c>
      <c r="L18" t="str">
        <f t="shared" ca="1" si="1"/>
        <v>Green</v>
      </c>
      <c r="M18" s="8"/>
      <c r="N18" s="8"/>
      <c r="O18" s="8"/>
      <c r="P18" s="8"/>
    </row>
    <row r="19" spans="1:16" ht="15">
      <c r="A19" t="s">
        <v>204</v>
      </c>
      <c r="B19" s="8" t="s">
        <v>187</v>
      </c>
      <c r="C19" s="8"/>
      <c r="D19" s="8"/>
      <c r="E19" s="8"/>
      <c r="F19" s="9"/>
      <c r="G19" s="9"/>
      <c r="H19" s="9"/>
      <c r="I19" s="8" t="s">
        <v>188</v>
      </c>
      <c r="J19" s="8" t="s">
        <v>189</v>
      </c>
      <c r="K19" s="12">
        <f t="shared" ca="1" si="0"/>
        <v>0</v>
      </c>
      <c r="L19" t="str">
        <f t="shared" ca="1" si="1"/>
        <v>Green</v>
      </c>
      <c r="M19" s="8"/>
      <c r="N19" s="8"/>
      <c r="O19" s="8"/>
      <c r="P19" s="8"/>
    </row>
    <row r="20" spans="1:16" ht="15">
      <c r="A20" t="s">
        <v>205</v>
      </c>
      <c r="B20" s="8" t="s">
        <v>187</v>
      </c>
      <c r="C20" s="8"/>
      <c r="D20" s="8"/>
      <c r="E20" s="8"/>
      <c r="F20" s="9"/>
      <c r="G20" s="9"/>
      <c r="H20" s="9"/>
      <c r="I20" s="8" t="s">
        <v>188</v>
      </c>
      <c r="J20" s="8" t="s">
        <v>189</v>
      </c>
      <c r="K20" s="12">
        <f t="shared" ca="1" si="0"/>
        <v>0</v>
      </c>
      <c r="L20" t="str">
        <f t="shared" ca="1" si="1"/>
        <v>Green</v>
      </c>
      <c r="M20" s="8"/>
      <c r="N20" s="8"/>
      <c r="O20" s="8"/>
      <c r="P20" s="8"/>
    </row>
    <row r="21" spans="1:16" ht="15">
      <c r="A21" t="s">
        <v>206</v>
      </c>
      <c r="B21" s="8" t="s">
        <v>187</v>
      </c>
      <c r="C21" s="8"/>
      <c r="D21" s="8"/>
      <c r="E21" s="8"/>
      <c r="F21" s="9"/>
      <c r="G21" s="9"/>
      <c r="H21" s="9"/>
      <c r="I21" s="8" t="s">
        <v>188</v>
      </c>
      <c r="J21" s="8" t="s">
        <v>189</v>
      </c>
      <c r="K21" s="12">
        <f t="shared" ca="1" si="0"/>
        <v>0</v>
      </c>
      <c r="L21" t="str">
        <f t="shared" ca="1" si="1"/>
        <v>Green</v>
      </c>
      <c r="M21" s="8"/>
      <c r="N21" s="8"/>
      <c r="O21" s="8"/>
      <c r="P21" s="8"/>
    </row>
    <row r="22" spans="1:16" ht="15">
      <c r="A22" t="s">
        <v>207</v>
      </c>
      <c r="B22" s="8" t="s">
        <v>187</v>
      </c>
      <c r="C22" s="8"/>
      <c r="D22" s="8"/>
      <c r="E22" s="8"/>
      <c r="F22" s="9"/>
      <c r="G22" s="9"/>
      <c r="H22" s="9"/>
      <c r="I22" s="8" t="s">
        <v>188</v>
      </c>
      <c r="J22" s="8" t="s">
        <v>189</v>
      </c>
      <c r="K22" s="12">
        <f t="shared" ca="1" si="0"/>
        <v>0</v>
      </c>
      <c r="L22" t="str">
        <f t="shared" ca="1" si="1"/>
        <v>Green</v>
      </c>
      <c r="M22" s="8"/>
      <c r="N22" s="8"/>
      <c r="O22" s="8"/>
      <c r="P22" s="8"/>
    </row>
    <row r="23" spans="1:16" ht="15">
      <c r="A23" t="s">
        <v>208</v>
      </c>
      <c r="B23" s="8" t="s">
        <v>187</v>
      </c>
      <c r="C23" s="8"/>
      <c r="D23" s="8"/>
      <c r="E23" s="8"/>
      <c r="F23" s="9"/>
      <c r="G23" s="9"/>
      <c r="H23" s="9"/>
      <c r="I23" s="8" t="s">
        <v>188</v>
      </c>
      <c r="J23" s="8" t="s">
        <v>189</v>
      </c>
      <c r="K23" s="12">
        <f t="shared" ca="1" si="0"/>
        <v>0</v>
      </c>
      <c r="L23" t="str">
        <f t="shared" ca="1" si="1"/>
        <v>Green</v>
      </c>
      <c r="M23" s="8"/>
      <c r="N23" s="8"/>
      <c r="O23" s="8"/>
      <c r="P23" s="8"/>
    </row>
    <row r="24" spans="1:16" ht="15">
      <c r="A24" t="s">
        <v>209</v>
      </c>
      <c r="B24" s="8" t="s">
        <v>187</v>
      </c>
      <c r="C24" s="8"/>
      <c r="D24" s="8"/>
      <c r="E24" s="8"/>
      <c r="F24" s="9"/>
      <c r="G24" s="9"/>
      <c r="H24" s="9"/>
      <c r="I24" s="8" t="s">
        <v>188</v>
      </c>
      <c r="J24" s="8" t="s">
        <v>189</v>
      </c>
      <c r="K24" s="12">
        <f t="shared" ca="1" si="0"/>
        <v>0</v>
      </c>
      <c r="L24" t="str">
        <f t="shared" ca="1" si="1"/>
        <v>Green</v>
      </c>
      <c r="M24" s="8"/>
      <c r="N24" s="8"/>
      <c r="O24" s="8"/>
      <c r="P24" s="8"/>
    </row>
    <row r="25" spans="1:16" ht="15">
      <c r="A25" t="s">
        <v>210</v>
      </c>
      <c r="B25" s="8" t="s">
        <v>187</v>
      </c>
      <c r="C25" s="8"/>
      <c r="D25" s="8"/>
      <c r="E25" s="8"/>
      <c r="F25" s="9"/>
      <c r="G25" s="9"/>
      <c r="H25" s="9"/>
      <c r="I25" s="8" t="s">
        <v>188</v>
      </c>
      <c r="J25" s="8" t="s">
        <v>189</v>
      </c>
      <c r="K25" s="12">
        <f t="shared" ca="1" si="0"/>
        <v>0</v>
      </c>
      <c r="L25" t="str">
        <f t="shared" ca="1" si="1"/>
        <v>Green</v>
      </c>
      <c r="M25" s="8"/>
      <c r="N25" s="8"/>
      <c r="O25" s="8"/>
      <c r="P25" s="8"/>
    </row>
    <row r="26" spans="1:16" ht="15">
      <c r="A26" t="s">
        <v>211</v>
      </c>
      <c r="B26" s="8" t="s">
        <v>187</v>
      </c>
      <c r="C26" s="8"/>
      <c r="D26" s="8"/>
      <c r="E26" s="8"/>
      <c r="F26" s="9"/>
      <c r="G26" s="9"/>
      <c r="H26" s="9"/>
      <c r="I26" s="8" t="s">
        <v>188</v>
      </c>
      <c r="J26" s="8" t="s">
        <v>189</v>
      </c>
      <c r="K26" s="12">
        <f t="shared" ca="1" si="0"/>
        <v>0</v>
      </c>
      <c r="L26" t="str">
        <f t="shared" ca="1" si="1"/>
        <v>Green</v>
      </c>
      <c r="M26" s="8"/>
      <c r="N26" s="8"/>
      <c r="O26" s="8"/>
      <c r="P26" s="8"/>
    </row>
    <row r="27" spans="1:16" ht="15">
      <c r="A27" t="s">
        <v>212</v>
      </c>
      <c r="B27" s="8" t="s">
        <v>187</v>
      </c>
      <c r="C27" s="8"/>
      <c r="D27" s="8"/>
      <c r="E27" s="8"/>
      <c r="F27" s="9"/>
      <c r="G27" s="9"/>
      <c r="H27" s="9"/>
      <c r="I27" s="8" t="s">
        <v>188</v>
      </c>
      <c r="J27" s="8" t="s">
        <v>189</v>
      </c>
      <c r="K27" s="12">
        <f t="shared" ca="1" si="0"/>
        <v>0</v>
      </c>
      <c r="L27" t="str">
        <f t="shared" ca="1" si="1"/>
        <v>Green</v>
      </c>
      <c r="M27" s="8"/>
      <c r="N27" s="8"/>
      <c r="O27" s="8"/>
      <c r="P27" s="8"/>
    </row>
    <row r="28" spans="1:16" ht="15">
      <c r="A28" t="s">
        <v>213</v>
      </c>
      <c r="B28" s="8" t="s">
        <v>187</v>
      </c>
      <c r="C28" s="8"/>
      <c r="D28" s="8"/>
      <c r="E28" s="8"/>
      <c r="F28" s="9"/>
      <c r="G28" s="9"/>
      <c r="H28" s="9"/>
      <c r="I28" s="8" t="s">
        <v>188</v>
      </c>
      <c r="J28" s="8" t="s">
        <v>189</v>
      </c>
      <c r="K28" s="12">
        <f t="shared" ca="1" si="0"/>
        <v>0</v>
      </c>
      <c r="L28" t="str">
        <f t="shared" ca="1" si="1"/>
        <v>Green</v>
      </c>
      <c r="M28" s="8"/>
      <c r="N28" s="8"/>
      <c r="O28" s="8"/>
      <c r="P28" s="8"/>
    </row>
  </sheetData>
  <mergeCells count="2">
    <mergeCell ref="A1:P1"/>
    <mergeCell ref="A2:X2"/>
  </mergeCells>
  <conditionalFormatting sqref="L4:L28">
    <cfRule type="containsText" dxfId="4" priority="1" operator="containsText" text="Red"/>
    <cfRule type="containsText" dxfId="3" priority="2" operator="containsText" text="Amber"/>
    <cfRule type="containsText" dxfId="2" priority="3" operator="containsText" text="Green"/>
  </conditionalFormatting>
  <dataValidations count="3">
    <dataValidation type="list" sqref="B4:B28" xr:uid="{00000000-0002-0000-0400-000000000000}">
      <formula1>"Containment,Corrective,Preventive,Standardization,Yokoten"</formula1>
    </dataValidation>
    <dataValidation type="list" sqref="I4:I28" xr:uid="{00000000-0002-0000-0400-000001000000}">
      <formula1>"Not Started,In Progress,Blocked,Complete,Cancelled"</formula1>
    </dataValidation>
    <dataValidation type="list" sqref="J4:J28" xr:uid="{00000000-0002-0000-0400-000002000000}">
      <formula1>"Critical,High,Medium,Low"</formula1>
    </dataValidation>
  </dataValidations>
  <pageMargins left="0.7" right="0.7" top="0.75" bottom="0.75" header="0.3" footer="0.3"/>
  <pageSetup paperSize="9" orientation="portrait" horizontalDpi="0" verticalDpi="0"/>
  <headerFooter>
    <oddHeader>&amp;R&amp;"Aptos"&amp;10&amp;K0000FF Classification:Business / Non-GDPR Data&amp;1#_x000D_</oddHeader>
  </headerFooter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1"/>
  <sheetViews>
    <sheetView showGridLines="0" workbookViewId="0"/>
  </sheetViews>
  <sheetFormatPr baseColWidth="10" defaultColWidth="8.83203125" defaultRowHeight="14"/>
  <cols>
    <col min="1" max="1" width="14" customWidth="1"/>
    <col min="2" max="2" width="18" customWidth="1"/>
    <col min="3" max="4" width="16" customWidth="1"/>
    <col min="5" max="7" width="14" customWidth="1"/>
    <col min="8" max="9" width="16" customWidth="1"/>
    <col min="10" max="11" width="18" customWidth="1"/>
    <col min="12" max="12" width="22" customWidth="1"/>
  </cols>
  <sheetData>
    <row r="1" spans="1:24" ht="30" customHeight="1">
      <c r="A1" s="26" t="s">
        <v>214</v>
      </c>
      <c r="B1" s="26" t="s">
        <v>214</v>
      </c>
      <c r="C1" s="26" t="s">
        <v>214</v>
      </c>
      <c r="D1" s="26" t="s">
        <v>214</v>
      </c>
      <c r="E1" s="26" t="s">
        <v>214</v>
      </c>
      <c r="F1" s="26" t="s">
        <v>214</v>
      </c>
      <c r="G1" s="26" t="s">
        <v>214</v>
      </c>
      <c r="H1" s="26" t="s">
        <v>214</v>
      </c>
      <c r="I1" s="26" t="s">
        <v>214</v>
      </c>
      <c r="J1" s="26" t="s">
        <v>214</v>
      </c>
      <c r="K1" s="26" t="s">
        <v>214</v>
      </c>
      <c r="L1" s="26" t="s">
        <v>214</v>
      </c>
    </row>
    <row r="2" spans="1:24">
      <c r="A2" s="27" t="s">
        <v>215</v>
      </c>
      <c r="B2" s="27" t="s">
        <v>215</v>
      </c>
      <c r="C2" s="27" t="s">
        <v>215</v>
      </c>
      <c r="D2" s="27" t="s">
        <v>215</v>
      </c>
      <c r="E2" s="27" t="s">
        <v>215</v>
      </c>
      <c r="F2" s="27" t="s">
        <v>215</v>
      </c>
      <c r="G2" s="27" t="s">
        <v>215</v>
      </c>
      <c r="H2" s="27" t="s">
        <v>215</v>
      </c>
      <c r="I2" s="27" t="s">
        <v>215</v>
      </c>
      <c r="J2" s="27" t="s">
        <v>215</v>
      </c>
      <c r="K2" s="27" t="s">
        <v>215</v>
      </c>
      <c r="L2" s="27" t="s">
        <v>215</v>
      </c>
      <c r="M2" s="27" t="s">
        <v>215</v>
      </c>
      <c r="N2" s="27" t="s">
        <v>215</v>
      </c>
      <c r="O2" s="27" t="s">
        <v>215</v>
      </c>
      <c r="P2" s="27" t="s">
        <v>215</v>
      </c>
      <c r="Q2" s="27" t="s">
        <v>215</v>
      </c>
      <c r="R2" s="27" t="s">
        <v>215</v>
      </c>
      <c r="S2" s="27" t="s">
        <v>215</v>
      </c>
      <c r="T2" s="27" t="s">
        <v>215</v>
      </c>
      <c r="U2" s="27" t="s">
        <v>215</v>
      </c>
      <c r="V2" s="27" t="s">
        <v>215</v>
      </c>
      <c r="W2" s="27" t="s">
        <v>215</v>
      </c>
      <c r="X2" s="27" t="s">
        <v>215</v>
      </c>
    </row>
    <row r="3" spans="1:24">
      <c r="A3" s="19" t="s">
        <v>216</v>
      </c>
      <c r="B3" s="19" t="s">
        <v>216</v>
      </c>
      <c r="C3" s="19" t="s">
        <v>216</v>
      </c>
      <c r="D3" s="19" t="s">
        <v>216</v>
      </c>
      <c r="E3" s="19" t="s">
        <v>216</v>
      </c>
      <c r="F3" s="19" t="s">
        <v>216</v>
      </c>
      <c r="G3" s="19" t="s">
        <v>216</v>
      </c>
      <c r="H3" s="19" t="s">
        <v>216</v>
      </c>
      <c r="I3" s="19" t="s">
        <v>216</v>
      </c>
      <c r="J3" s="19" t="s">
        <v>216</v>
      </c>
      <c r="K3" s="19" t="s">
        <v>216</v>
      </c>
      <c r="L3" s="19" t="s">
        <v>216</v>
      </c>
    </row>
    <row r="4" spans="1:24" ht="32">
      <c r="A4" s="1" t="s">
        <v>36</v>
      </c>
      <c r="B4" s="1" t="s">
        <v>217</v>
      </c>
      <c r="C4" s="1" t="s">
        <v>81</v>
      </c>
      <c r="D4" s="1" t="s">
        <v>101</v>
      </c>
      <c r="E4" s="1" t="s">
        <v>218</v>
      </c>
      <c r="F4" s="1" t="s">
        <v>219</v>
      </c>
      <c r="G4" s="1" t="s">
        <v>102</v>
      </c>
      <c r="H4" s="1" t="s">
        <v>220</v>
      </c>
      <c r="I4" s="1" t="s">
        <v>221</v>
      </c>
      <c r="J4" s="1" t="s">
        <v>222</v>
      </c>
      <c r="K4" s="1" t="s">
        <v>223</v>
      </c>
      <c r="L4" s="1" t="s">
        <v>224</v>
      </c>
    </row>
    <row r="5" spans="1:24">
      <c r="A5" t="s">
        <v>107</v>
      </c>
      <c r="B5" s="8"/>
      <c r="C5" s="8"/>
      <c r="D5" s="8"/>
      <c r="E5" s="8"/>
      <c r="F5" s="8"/>
      <c r="G5" s="8"/>
      <c r="H5" s="13" t="str">
        <f t="shared" ref="H5:H12" si="0">IF(OR(C5="",E5="",C5=0),"",(C5-E5)/ABS(C5))</f>
        <v/>
      </c>
      <c r="I5" t="str">
        <f t="shared" ref="I5:I12" si="1">IF(OR(D5="",E5=""),"",IF(E5&lt;=D5,"Yes","No"))</f>
        <v/>
      </c>
      <c r="J5" s="8"/>
      <c r="K5" s="8"/>
      <c r="L5" s="8"/>
    </row>
    <row r="6" spans="1:24">
      <c r="A6" t="s">
        <v>225</v>
      </c>
      <c r="B6" s="8"/>
      <c r="C6" s="8"/>
      <c r="D6" s="8"/>
      <c r="E6" s="8"/>
      <c r="F6" s="8"/>
      <c r="G6" s="8"/>
      <c r="H6" s="13" t="str">
        <f t="shared" si="0"/>
        <v/>
      </c>
      <c r="I6" t="str">
        <f t="shared" si="1"/>
        <v/>
      </c>
      <c r="J6" s="8"/>
      <c r="K6" s="8"/>
      <c r="L6" s="8"/>
    </row>
    <row r="7" spans="1:24">
      <c r="A7" t="s">
        <v>226</v>
      </c>
      <c r="B7" s="8"/>
      <c r="C7" s="8"/>
      <c r="D7" s="8"/>
      <c r="E7" s="8"/>
      <c r="F7" s="8"/>
      <c r="G7" s="8"/>
      <c r="H7" s="13" t="str">
        <f t="shared" si="0"/>
        <v/>
      </c>
      <c r="I7" t="str">
        <f t="shared" si="1"/>
        <v/>
      </c>
      <c r="J7" s="8"/>
      <c r="K7" s="8"/>
      <c r="L7" s="8"/>
    </row>
    <row r="8" spans="1:24">
      <c r="A8" t="s">
        <v>227</v>
      </c>
      <c r="B8" s="8"/>
      <c r="C8" s="8"/>
      <c r="D8" s="8"/>
      <c r="E8" s="8"/>
      <c r="F8" s="8"/>
      <c r="G8" s="8"/>
      <c r="H8" s="13" t="str">
        <f t="shared" si="0"/>
        <v/>
      </c>
      <c r="I8" t="str">
        <f t="shared" si="1"/>
        <v/>
      </c>
      <c r="J8" s="8"/>
      <c r="K8" s="8"/>
      <c r="L8" s="8"/>
    </row>
    <row r="9" spans="1:24">
      <c r="A9" t="s">
        <v>228</v>
      </c>
      <c r="B9" s="8"/>
      <c r="C9" s="8"/>
      <c r="D9" s="8"/>
      <c r="E9" s="8"/>
      <c r="F9" s="8"/>
      <c r="G9" s="8"/>
      <c r="H9" s="13" t="str">
        <f t="shared" si="0"/>
        <v/>
      </c>
      <c r="I9" t="str">
        <f t="shared" si="1"/>
        <v/>
      </c>
      <c r="J9" s="8"/>
      <c r="K9" s="8"/>
      <c r="L9" s="8"/>
    </row>
    <row r="10" spans="1:24">
      <c r="A10" t="s">
        <v>229</v>
      </c>
      <c r="B10" s="8"/>
      <c r="C10" s="8"/>
      <c r="D10" s="8"/>
      <c r="E10" s="8"/>
      <c r="F10" s="8"/>
      <c r="G10" s="8"/>
      <c r="H10" s="13" t="str">
        <f t="shared" si="0"/>
        <v/>
      </c>
      <c r="I10" t="str">
        <f t="shared" si="1"/>
        <v/>
      </c>
      <c r="J10" s="8"/>
      <c r="K10" s="8"/>
      <c r="L10" s="8"/>
    </row>
    <row r="11" spans="1:24">
      <c r="A11" t="s">
        <v>230</v>
      </c>
      <c r="B11" s="8"/>
      <c r="C11" s="8"/>
      <c r="D11" s="8"/>
      <c r="E11" s="8"/>
      <c r="F11" s="8"/>
      <c r="G11" s="8"/>
      <c r="H11" s="13" t="str">
        <f t="shared" si="0"/>
        <v/>
      </c>
      <c r="I11" t="str">
        <f t="shared" si="1"/>
        <v/>
      </c>
      <c r="J11" s="8"/>
      <c r="K11" s="8"/>
      <c r="L11" s="8"/>
    </row>
    <row r="12" spans="1:24">
      <c r="A12" t="s">
        <v>96</v>
      </c>
      <c r="B12" s="8"/>
      <c r="C12" s="8"/>
      <c r="D12" s="8"/>
      <c r="E12" s="8"/>
      <c r="F12" s="8"/>
      <c r="G12" s="8"/>
      <c r="H12" s="13" t="str">
        <f t="shared" si="0"/>
        <v/>
      </c>
      <c r="I12" t="str">
        <f t="shared" si="1"/>
        <v/>
      </c>
      <c r="J12" s="8"/>
      <c r="K12" s="8"/>
      <c r="L12" s="8"/>
    </row>
    <row r="14" spans="1:24">
      <c r="A14" s="19" t="s">
        <v>231</v>
      </c>
      <c r="B14" s="19" t="s">
        <v>231</v>
      </c>
      <c r="C14" s="19" t="s">
        <v>231</v>
      </c>
      <c r="D14" s="19" t="s">
        <v>231</v>
      </c>
      <c r="E14" s="19" t="s">
        <v>231</v>
      </c>
      <c r="F14" s="19" t="s">
        <v>231</v>
      </c>
      <c r="G14" s="19" t="s">
        <v>231</v>
      </c>
      <c r="H14" s="19" t="s">
        <v>231</v>
      </c>
      <c r="I14" s="19" t="s">
        <v>231</v>
      </c>
      <c r="J14" s="19" t="s">
        <v>231</v>
      </c>
      <c r="K14" s="19" t="s">
        <v>231</v>
      </c>
      <c r="L14" s="19" t="s">
        <v>231</v>
      </c>
    </row>
    <row r="15" spans="1:24" ht="32">
      <c r="A15" s="1" t="s">
        <v>232</v>
      </c>
      <c r="B15" s="1" t="s">
        <v>233</v>
      </c>
      <c r="C15" s="1" t="s">
        <v>234</v>
      </c>
      <c r="D15" s="1" t="s">
        <v>235</v>
      </c>
      <c r="E15" s="1" t="s">
        <v>236</v>
      </c>
      <c r="F15" s="1" t="s">
        <v>237</v>
      </c>
      <c r="G15" s="1" t="s">
        <v>238</v>
      </c>
      <c r="H15" s="1" t="s">
        <v>239</v>
      </c>
      <c r="I15" s="1" t="s">
        <v>240</v>
      </c>
      <c r="J15" s="1" t="s">
        <v>241</v>
      </c>
      <c r="K15" s="1" t="s">
        <v>242</v>
      </c>
      <c r="L15" s="1" t="s">
        <v>180</v>
      </c>
    </row>
    <row r="16" spans="1:24" ht="15">
      <c r="A16" s="9"/>
      <c r="B16" s="8"/>
      <c r="C16" s="8"/>
      <c r="D16" s="8"/>
      <c r="E16" s="8"/>
      <c r="F16" s="8"/>
      <c r="G16" s="10" t="str">
        <f t="shared" ref="G16:G23" si="2">IF(OR(D16="",D16=0),"",E16/D16)</f>
        <v/>
      </c>
      <c r="H16" s="8"/>
      <c r="I16" s="8"/>
      <c r="J16" s="8"/>
      <c r="K16" s="9"/>
      <c r="L16" s="8" t="s">
        <v>243</v>
      </c>
    </row>
    <row r="17" spans="1:12" ht="15">
      <c r="A17" s="9"/>
      <c r="B17" s="8"/>
      <c r="C17" s="8"/>
      <c r="D17" s="8"/>
      <c r="E17" s="8"/>
      <c r="F17" s="8"/>
      <c r="G17" s="10" t="str">
        <f t="shared" si="2"/>
        <v/>
      </c>
      <c r="H17" s="8"/>
      <c r="I17" s="8"/>
      <c r="J17" s="8"/>
      <c r="K17" s="9"/>
      <c r="L17" s="8" t="s">
        <v>243</v>
      </c>
    </row>
    <row r="18" spans="1:12" ht="15">
      <c r="A18" s="9"/>
      <c r="B18" s="8"/>
      <c r="C18" s="8"/>
      <c r="D18" s="8"/>
      <c r="E18" s="8"/>
      <c r="F18" s="8"/>
      <c r="G18" s="10" t="str">
        <f t="shared" si="2"/>
        <v/>
      </c>
      <c r="H18" s="8"/>
      <c r="I18" s="8"/>
      <c r="J18" s="8"/>
      <c r="K18" s="9"/>
      <c r="L18" s="8" t="s">
        <v>243</v>
      </c>
    </row>
    <row r="19" spans="1:12" ht="15">
      <c r="A19" s="9"/>
      <c r="B19" s="8"/>
      <c r="C19" s="8"/>
      <c r="D19" s="8"/>
      <c r="E19" s="8"/>
      <c r="F19" s="8"/>
      <c r="G19" s="10" t="str">
        <f t="shared" si="2"/>
        <v/>
      </c>
      <c r="H19" s="8"/>
      <c r="I19" s="8"/>
      <c r="J19" s="8"/>
      <c r="K19" s="9"/>
      <c r="L19" s="8" t="s">
        <v>243</v>
      </c>
    </row>
    <row r="20" spans="1:12" ht="15">
      <c r="A20" s="9"/>
      <c r="B20" s="8"/>
      <c r="C20" s="8"/>
      <c r="D20" s="8"/>
      <c r="E20" s="8"/>
      <c r="F20" s="8"/>
      <c r="G20" s="10" t="str">
        <f t="shared" si="2"/>
        <v/>
      </c>
      <c r="H20" s="8"/>
      <c r="I20" s="8"/>
      <c r="J20" s="8"/>
      <c r="K20" s="9"/>
      <c r="L20" s="8" t="s">
        <v>243</v>
      </c>
    </row>
    <row r="21" spans="1:12" ht="15">
      <c r="A21" s="9"/>
      <c r="B21" s="8"/>
      <c r="C21" s="8"/>
      <c r="D21" s="8"/>
      <c r="E21" s="8"/>
      <c r="F21" s="8"/>
      <c r="G21" s="10" t="str">
        <f t="shared" si="2"/>
        <v/>
      </c>
      <c r="H21" s="8"/>
      <c r="I21" s="8"/>
      <c r="J21" s="8"/>
      <c r="K21" s="9"/>
      <c r="L21" s="8" t="s">
        <v>243</v>
      </c>
    </row>
    <row r="22" spans="1:12" ht="15">
      <c r="A22" s="9"/>
      <c r="B22" s="8"/>
      <c r="C22" s="8"/>
      <c r="D22" s="8"/>
      <c r="E22" s="8"/>
      <c r="F22" s="8"/>
      <c r="G22" s="10" t="str">
        <f t="shared" si="2"/>
        <v/>
      </c>
      <c r="H22" s="8"/>
      <c r="I22" s="8"/>
      <c r="J22" s="8"/>
      <c r="K22" s="9"/>
      <c r="L22" s="8" t="s">
        <v>243</v>
      </c>
    </row>
    <row r="23" spans="1:12" ht="15">
      <c r="A23" s="9"/>
      <c r="B23" s="8"/>
      <c r="C23" s="8"/>
      <c r="D23" s="8"/>
      <c r="E23" s="8"/>
      <c r="F23" s="8"/>
      <c r="G23" s="10" t="str">
        <f t="shared" si="2"/>
        <v/>
      </c>
      <c r="H23" s="8"/>
      <c r="I23" s="8"/>
      <c r="J23" s="8"/>
      <c r="K23" s="9"/>
      <c r="L23" s="8" t="s">
        <v>243</v>
      </c>
    </row>
    <row r="26" spans="1:12">
      <c r="A26" t="s">
        <v>36</v>
      </c>
      <c r="B26" t="s">
        <v>81</v>
      </c>
      <c r="C26" t="s">
        <v>101</v>
      </c>
      <c r="D26" t="s">
        <v>218</v>
      </c>
      <c r="E26" t="s">
        <v>219</v>
      </c>
    </row>
    <row r="27" spans="1:12">
      <c r="A27" t="s">
        <v>107</v>
      </c>
      <c r="B27">
        <f>0</f>
        <v>0</v>
      </c>
      <c r="C27">
        <f>0</f>
        <v>0</v>
      </c>
      <c r="D27">
        <f>0</f>
        <v>0</v>
      </c>
      <c r="E27">
        <f>0</f>
        <v>0</v>
      </c>
    </row>
    <row r="28" spans="1:12">
      <c r="A28" t="s">
        <v>225</v>
      </c>
      <c r="B28">
        <f>0</f>
        <v>0</v>
      </c>
      <c r="C28">
        <f>0</f>
        <v>0</v>
      </c>
      <c r="D28">
        <f>0</f>
        <v>0</v>
      </c>
      <c r="E28">
        <f>0</f>
        <v>0</v>
      </c>
    </row>
    <row r="29" spans="1:12">
      <c r="A29" t="s">
        <v>226</v>
      </c>
      <c r="B29">
        <f>0</f>
        <v>0</v>
      </c>
      <c r="C29">
        <f>0</f>
        <v>0</v>
      </c>
      <c r="D29">
        <f>0</f>
        <v>0</v>
      </c>
      <c r="E29">
        <f>0</f>
        <v>0</v>
      </c>
    </row>
    <row r="30" spans="1:12">
      <c r="A30" t="s">
        <v>227</v>
      </c>
      <c r="B30">
        <f>0</f>
        <v>0</v>
      </c>
      <c r="C30">
        <f>0</f>
        <v>0</v>
      </c>
      <c r="D30">
        <f>0</f>
        <v>0</v>
      </c>
      <c r="E30">
        <f>0</f>
        <v>0</v>
      </c>
    </row>
    <row r="31" spans="1:12">
      <c r="A31" t="s">
        <v>228</v>
      </c>
      <c r="B31">
        <f>0</f>
        <v>0</v>
      </c>
      <c r="C31">
        <f>0</f>
        <v>0</v>
      </c>
      <c r="D31">
        <f>0</f>
        <v>0</v>
      </c>
      <c r="E31">
        <f>0</f>
        <v>0</v>
      </c>
    </row>
  </sheetData>
  <mergeCells count="4">
    <mergeCell ref="A1:L1"/>
    <mergeCell ref="A2:X2"/>
    <mergeCell ref="A3:L3"/>
    <mergeCell ref="A14:L14"/>
  </mergeCells>
  <conditionalFormatting sqref="I5:I12">
    <cfRule type="containsText" dxfId="1" priority="1" operator="containsText" text="Yes"/>
    <cfRule type="containsText" dxfId="0" priority="2" operator="containsText" text="No"/>
  </conditionalFormatting>
  <dataValidations count="1">
    <dataValidation type="list" sqref="L16:L23" xr:uid="{00000000-0002-0000-0500-000000000000}">
      <formula1>"Planned,Verified,Rejected"</formula1>
    </dataValidation>
  </dataValidations>
  <pageMargins left="0.7" right="0.7" top="0.75" bottom="0.75" header="0.3" footer="0.3"/>
  <pageSetup paperSize="9" orientation="portrait" horizontalDpi="0" verticalDpi="0"/>
  <headerFooter>
    <oddHeader>&amp;R&amp;"Aptos"&amp;10&amp;K0000FF Classification:Business / Non-GDPR Data&amp;1#_x000D_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2"/>
  <sheetViews>
    <sheetView showGridLines="0" workbookViewId="0"/>
  </sheetViews>
  <sheetFormatPr baseColWidth="10" defaultColWidth="8.83203125" defaultRowHeight="14"/>
  <cols>
    <col min="1" max="1" width="14" customWidth="1"/>
    <col min="2" max="2" width="24" customWidth="1"/>
    <col min="3" max="12" width="16" customWidth="1"/>
    <col min="13" max="13" width="24" customWidth="1"/>
  </cols>
  <sheetData>
    <row r="1" spans="1:13" ht="30" customHeight="1">
      <c r="A1" s="26" t="s">
        <v>244</v>
      </c>
      <c r="B1" s="26" t="s">
        <v>244</v>
      </c>
      <c r="C1" s="26" t="s">
        <v>244</v>
      </c>
      <c r="D1" s="26" t="s">
        <v>244</v>
      </c>
      <c r="E1" s="26" t="s">
        <v>244</v>
      </c>
      <c r="F1" s="26" t="s">
        <v>244</v>
      </c>
      <c r="G1" s="26" t="s">
        <v>244</v>
      </c>
      <c r="H1" s="26" t="s">
        <v>244</v>
      </c>
      <c r="I1" s="26" t="s">
        <v>244</v>
      </c>
      <c r="J1" s="26" t="s">
        <v>244</v>
      </c>
      <c r="K1" s="26" t="s">
        <v>244</v>
      </c>
      <c r="L1" s="26" t="s">
        <v>244</v>
      </c>
      <c r="M1" s="26" t="s">
        <v>244</v>
      </c>
    </row>
    <row r="3" spans="1:13">
      <c r="A3" s="19" t="s">
        <v>245</v>
      </c>
      <c r="B3" s="19" t="s">
        <v>245</v>
      </c>
      <c r="C3" s="19" t="s">
        <v>245</v>
      </c>
      <c r="D3" s="19" t="s">
        <v>245</v>
      </c>
      <c r="E3" s="19" t="s">
        <v>245</v>
      </c>
      <c r="F3" s="19" t="s">
        <v>245</v>
      </c>
      <c r="G3" s="19" t="s">
        <v>245</v>
      </c>
      <c r="H3" s="19" t="s">
        <v>245</v>
      </c>
      <c r="I3" s="19" t="s">
        <v>245</v>
      </c>
      <c r="J3" s="19" t="s">
        <v>245</v>
      </c>
      <c r="K3" s="19" t="s">
        <v>245</v>
      </c>
      <c r="L3" s="19" t="s">
        <v>245</v>
      </c>
      <c r="M3" s="19" t="s">
        <v>245</v>
      </c>
    </row>
    <row r="4" spans="1:13" ht="32">
      <c r="A4" s="1" t="s">
        <v>246</v>
      </c>
      <c r="B4" s="1" t="s">
        <v>247</v>
      </c>
      <c r="C4" s="1" t="s">
        <v>248</v>
      </c>
      <c r="D4" s="1" t="s">
        <v>249</v>
      </c>
      <c r="E4" s="1" t="s">
        <v>250</v>
      </c>
      <c r="F4" s="1" t="s">
        <v>89</v>
      </c>
      <c r="G4" s="1" t="s">
        <v>119</v>
      </c>
      <c r="H4" s="1" t="s">
        <v>251</v>
      </c>
      <c r="I4" s="1" t="s">
        <v>180</v>
      </c>
      <c r="J4" s="1" t="s">
        <v>252</v>
      </c>
      <c r="K4" s="1" t="s">
        <v>88</v>
      </c>
      <c r="L4" s="1" t="s">
        <v>253</v>
      </c>
      <c r="M4" s="1" t="s">
        <v>90</v>
      </c>
    </row>
    <row r="5" spans="1:13" ht="15">
      <c r="A5" t="s">
        <v>254</v>
      </c>
      <c r="B5" s="8" t="s">
        <v>255</v>
      </c>
      <c r="C5" s="8"/>
      <c r="D5" s="8"/>
      <c r="E5" s="8"/>
      <c r="F5" s="8"/>
      <c r="G5" s="9"/>
      <c r="H5" s="9"/>
      <c r="I5" s="8" t="s">
        <v>188</v>
      </c>
      <c r="J5" s="8" t="s">
        <v>173</v>
      </c>
      <c r="K5" s="8"/>
      <c r="L5" s="8"/>
      <c r="M5" s="8"/>
    </row>
    <row r="6" spans="1:13" ht="15">
      <c r="A6" t="s">
        <v>256</v>
      </c>
      <c r="B6" s="8" t="s">
        <v>255</v>
      </c>
      <c r="C6" s="8"/>
      <c r="D6" s="8"/>
      <c r="E6" s="8"/>
      <c r="F6" s="8"/>
      <c r="G6" s="9"/>
      <c r="H6" s="9"/>
      <c r="I6" s="8" t="s">
        <v>188</v>
      </c>
      <c r="J6" s="8" t="s">
        <v>173</v>
      </c>
      <c r="K6" s="8"/>
      <c r="L6" s="8"/>
      <c r="M6" s="8"/>
    </row>
    <row r="7" spans="1:13" ht="15">
      <c r="A7" t="s">
        <v>257</v>
      </c>
      <c r="B7" s="8" t="s">
        <v>255</v>
      </c>
      <c r="C7" s="8"/>
      <c r="D7" s="8"/>
      <c r="E7" s="8"/>
      <c r="F7" s="8"/>
      <c r="G7" s="9"/>
      <c r="H7" s="9"/>
      <c r="I7" s="8" t="s">
        <v>188</v>
      </c>
      <c r="J7" s="8" t="s">
        <v>173</v>
      </c>
      <c r="K7" s="8"/>
      <c r="L7" s="8"/>
      <c r="M7" s="8"/>
    </row>
    <row r="8" spans="1:13" ht="15">
      <c r="A8" t="s">
        <v>258</v>
      </c>
      <c r="B8" s="8" t="s">
        <v>128</v>
      </c>
      <c r="C8" s="8"/>
      <c r="D8" s="8"/>
      <c r="E8" s="8"/>
      <c r="F8" s="8"/>
      <c r="G8" s="9"/>
      <c r="H8" s="9"/>
      <c r="I8" s="8" t="s">
        <v>188</v>
      </c>
      <c r="J8" s="8" t="s">
        <v>173</v>
      </c>
      <c r="K8" s="8"/>
      <c r="L8" s="8"/>
      <c r="M8" s="8"/>
    </row>
    <row r="9" spans="1:13" ht="15">
      <c r="A9" t="s">
        <v>259</v>
      </c>
      <c r="B9" s="8" t="s">
        <v>255</v>
      </c>
      <c r="C9" s="8"/>
      <c r="D9" s="8"/>
      <c r="E9" s="8"/>
      <c r="F9" s="8"/>
      <c r="G9" s="9"/>
      <c r="H9" s="9"/>
      <c r="I9" s="8" t="s">
        <v>188</v>
      </c>
      <c r="J9" s="8" t="s">
        <v>173</v>
      </c>
      <c r="K9" s="8"/>
      <c r="L9" s="8"/>
      <c r="M9" s="8"/>
    </row>
    <row r="10" spans="1:13" ht="15">
      <c r="A10" t="s">
        <v>260</v>
      </c>
      <c r="B10" s="8" t="s">
        <v>128</v>
      </c>
      <c r="C10" s="8"/>
      <c r="D10" s="8"/>
      <c r="E10" s="8"/>
      <c r="F10" s="8"/>
      <c r="G10" s="9"/>
      <c r="H10" s="9"/>
      <c r="I10" s="8" t="s">
        <v>188</v>
      </c>
      <c r="J10" s="8" t="s">
        <v>173</v>
      </c>
      <c r="K10" s="8"/>
      <c r="L10" s="8"/>
      <c r="M10" s="8"/>
    </row>
    <row r="11" spans="1:13" ht="15">
      <c r="A11" t="s">
        <v>261</v>
      </c>
      <c r="B11" s="8" t="s">
        <v>128</v>
      </c>
      <c r="C11" s="8"/>
      <c r="D11" s="8"/>
      <c r="E11" s="8"/>
      <c r="F11" s="8"/>
      <c r="G11" s="9"/>
      <c r="H11" s="9"/>
      <c r="I11" s="8" t="s">
        <v>188</v>
      </c>
      <c r="J11" s="8" t="s">
        <v>173</v>
      </c>
      <c r="K11" s="8"/>
      <c r="L11" s="8"/>
      <c r="M11" s="8"/>
    </row>
    <row r="13" spans="1:13">
      <c r="A13" s="19" t="s">
        <v>262</v>
      </c>
      <c r="B13" s="19" t="s">
        <v>262</v>
      </c>
      <c r="C13" s="19" t="s">
        <v>262</v>
      </c>
      <c r="D13" s="19" t="s">
        <v>262</v>
      </c>
      <c r="E13" s="19" t="s">
        <v>262</v>
      </c>
      <c r="F13" s="19" t="s">
        <v>262</v>
      </c>
      <c r="G13" s="19" t="s">
        <v>262</v>
      </c>
      <c r="H13" s="19" t="s">
        <v>262</v>
      </c>
      <c r="I13" s="19" t="s">
        <v>262</v>
      </c>
      <c r="J13" s="19" t="s">
        <v>262</v>
      </c>
      <c r="K13" s="19" t="s">
        <v>262</v>
      </c>
      <c r="L13" s="19" t="s">
        <v>262</v>
      </c>
      <c r="M13" s="19" t="s">
        <v>262</v>
      </c>
    </row>
    <row r="14" spans="1:13" ht="32">
      <c r="A14" s="1" t="s">
        <v>263</v>
      </c>
      <c r="B14" s="1" t="s">
        <v>264</v>
      </c>
      <c r="C14" s="1" t="s">
        <v>265</v>
      </c>
      <c r="D14" s="1" t="s">
        <v>266</v>
      </c>
      <c r="E14" s="1" t="s">
        <v>89</v>
      </c>
      <c r="F14" s="1" t="s">
        <v>119</v>
      </c>
      <c r="G14" s="1" t="s">
        <v>180</v>
      </c>
      <c r="H14" s="1" t="s">
        <v>183</v>
      </c>
      <c r="I14" s="1" t="s">
        <v>267</v>
      </c>
      <c r="J14" s="1" t="s">
        <v>268</v>
      </c>
      <c r="K14" s="1" t="s">
        <v>120</v>
      </c>
      <c r="L14" s="1" t="s">
        <v>252</v>
      </c>
      <c r="M14" s="1" t="s">
        <v>90</v>
      </c>
    </row>
    <row r="15" spans="1:13" ht="15">
      <c r="A15" s="8"/>
      <c r="B15" s="8"/>
      <c r="C15" s="8"/>
      <c r="D15" s="8"/>
      <c r="E15" s="8"/>
      <c r="F15" s="9"/>
      <c r="G15" s="8" t="s">
        <v>188</v>
      </c>
      <c r="H15" s="8"/>
      <c r="I15" s="8"/>
      <c r="J15" s="9"/>
      <c r="K15" s="8"/>
      <c r="L15" s="8" t="s">
        <v>173</v>
      </c>
      <c r="M15" s="8"/>
    </row>
    <row r="16" spans="1:13" ht="15">
      <c r="A16" s="8"/>
      <c r="B16" s="8"/>
      <c r="C16" s="8"/>
      <c r="D16" s="8"/>
      <c r="E16" s="8"/>
      <c r="F16" s="9"/>
      <c r="G16" s="8" t="s">
        <v>188</v>
      </c>
      <c r="H16" s="8"/>
      <c r="I16" s="8"/>
      <c r="J16" s="9"/>
      <c r="K16" s="8"/>
      <c r="L16" s="8" t="s">
        <v>173</v>
      </c>
      <c r="M16" s="8"/>
    </row>
    <row r="17" spans="1:13" ht="15">
      <c r="A17" s="8"/>
      <c r="B17" s="8"/>
      <c r="C17" s="8"/>
      <c r="D17" s="8"/>
      <c r="E17" s="8"/>
      <c r="F17" s="9"/>
      <c r="G17" s="8" t="s">
        <v>188</v>
      </c>
      <c r="H17" s="8"/>
      <c r="I17" s="8"/>
      <c r="J17" s="9"/>
      <c r="K17" s="8"/>
      <c r="L17" s="8" t="s">
        <v>173</v>
      </c>
      <c r="M17" s="8"/>
    </row>
    <row r="18" spans="1:13" ht="15">
      <c r="A18" s="8"/>
      <c r="B18" s="8"/>
      <c r="C18" s="8"/>
      <c r="D18" s="8"/>
      <c r="E18" s="8"/>
      <c r="F18" s="9"/>
      <c r="G18" s="8" t="s">
        <v>188</v>
      </c>
      <c r="H18" s="8"/>
      <c r="I18" s="8"/>
      <c r="J18" s="9"/>
      <c r="K18" s="8"/>
      <c r="L18" s="8" t="s">
        <v>173</v>
      </c>
      <c r="M18" s="8"/>
    </row>
    <row r="19" spans="1:13" ht="15">
      <c r="A19" s="8"/>
      <c r="B19" s="8"/>
      <c r="C19" s="8"/>
      <c r="D19" s="8"/>
      <c r="E19" s="8"/>
      <c r="F19" s="9"/>
      <c r="G19" s="8" t="s">
        <v>188</v>
      </c>
      <c r="H19" s="8"/>
      <c r="I19" s="8"/>
      <c r="J19" s="9"/>
      <c r="K19" s="8"/>
      <c r="L19" s="8" t="s">
        <v>173</v>
      </c>
      <c r="M19" s="8"/>
    </row>
    <row r="20" spans="1:13" ht="15">
      <c r="A20" s="8"/>
      <c r="B20" s="8"/>
      <c r="C20" s="8"/>
      <c r="D20" s="8"/>
      <c r="E20" s="8"/>
      <c r="F20" s="9"/>
      <c r="G20" s="8" t="s">
        <v>188</v>
      </c>
      <c r="H20" s="8"/>
      <c r="I20" s="8"/>
      <c r="J20" s="9"/>
      <c r="K20" s="8"/>
      <c r="L20" s="8" t="s">
        <v>173</v>
      </c>
      <c r="M20" s="8"/>
    </row>
    <row r="21" spans="1:13" ht="15">
      <c r="A21" s="8"/>
      <c r="B21" s="8"/>
      <c r="C21" s="8"/>
      <c r="D21" s="8"/>
      <c r="E21" s="8"/>
      <c r="F21" s="9"/>
      <c r="G21" s="8" t="s">
        <v>188</v>
      </c>
      <c r="H21" s="8"/>
      <c r="I21" s="8"/>
      <c r="J21" s="9"/>
      <c r="K21" s="8"/>
      <c r="L21" s="8" t="s">
        <v>173</v>
      </c>
      <c r="M21" s="8"/>
    </row>
    <row r="22" spans="1:13" ht="15">
      <c r="A22" s="8"/>
      <c r="B22" s="8"/>
      <c r="C22" s="8"/>
      <c r="D22" s="8"/>
      <c r="E22" s="8"/>
      <c r="F22" s="9"/>
      <c r="G22" s="8" t="s">
        <v>188</v>
      </c>
      <c r="H22" s="8"/>
      <c r="I22" s="8"/>
      <c r="J22" s="9"/>
      <c r="K22" s="8"/>
      <c r="L22" s="8" t="s">
        <v>173</v>
      </c>
      <c r="M22" s="8"/>
    </row>
    <row r="24" spans="1:13">
      <c r="A24" s="19" t="s">
        <v>269</v>
      </c>
      <c r="B24" s="19" t="s">
        <v>269</v>
      </c>
      <c r="C24" s="19" t="s">
        <v>269</v>
      </c>
      <c r="D24" s="19" t="s">
        <v>269</v>
      </c>
      <c r="E24" s="19" t="s">
        <v>269</v>
      </c>
      <c r="F24" s="19" t="s">
        <v>269</v>
      </c>
      <c r="G24" s="19" t="s">
        <v>269</v>
      </c>
      <c r="H24" s="19" t="s">
        <v>269</v>
      </c>
      <c r="I24" s="19" t="s">
        <v>269</v>
      </c>
      <c r="J24" s="19" t="s">
        <v>269</v>
      </c>
      <c r="K24" s="19" t="s">
        <v>269</v>
      </c>
      <c r="L24" s="19" t="s">
        <v>269</v>
      </c>
      <c r="M24" s="19" t="s">
        <v>269</v>
      </c>
    </row>
    <row r="25" spans="1:13" ht="32">
      <c r="A25" s="14" t="s">
        <v>270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ht="32">
      <c r="A26" s="14" t="s">
        <v>271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ht="48">
      <c r="A27" s="14" t="s">
        <v>272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ht="32">
      <c r="A28" s="14" t="s">
        <v>273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ht="32">
      <c r="A29" s="14" t="s">
        <v>274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ht="48">
      <c r="A30" s="14" t="s">
        <v>275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ht="48">
      <c r="A31" s="14" t="s">
        <v>276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ht="32">
      <c r="A32" s="14" t="s">
        <v>277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</sheetData>
  <mergeCells count="4">
    <mergeCell ref="A1:M1"/>
    <mergeCell ref="A3:M3"/>
    <mergeCell ref="A13:M13"/>
    <mergeCell ref="A24:M24"/>
  </mergeCells>
  <dataValidations count="3">
    <dataValidation type="list" sqref="B5:B11 I15:I22 B15:D22" xr:uid="{00000000-0002-0000-0600-000000000000}">
      <formula1>"Yes,No"</formula1>
    </dataValidation>
    <dataValidation type="list" sqref="I5:I11 G15:G22" xr:uid="{00000000-0002-0000-0600-000001000000}">
      <formula1>"Not Started,In Progress,Blocked,Complete,Cancelled"</formula1>
    </dataValidation>
    <dataValidation type="list" sqref="J5:J11 L15:L22" xr:uid="{00000000-0002-0000-0600-000002000000}">
      <formula1>"Draft,Under Review,Approved,Rejected"</formula1>
    </dataValidation>
  </dataValidations>
  <pageMargins left="0.7" right="0.7" top="0.75" bottom="0.75" header="0.3" footer="0.3"/>
  <pageSetup paperSize="9" orientation="portrait" horizontalDpi="0" verticalDpi="0"/>
  <headerFooter>
    <oddHeader>&amp;R&amp;"Aptos"&amp;10&amp;K0000FF Classification:Business / Non-GDPR Data&amp;1#_x000D_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showGridLines="0" workbookViewId="0"/>
  </sheetViews>
  <sheetFormatPr baseColWidth="10" defaultColWidth="8.83203125" defaultRowHeight="14"/>
  <cols>
    <col min="1" max="1" width="16" customWidth="1"/>
    <col min="2" max="2" width="12" customWidth="1"/>
    <col min="3" max="3" width="10" customWidth="1"/>
    <col min="4" max="4" width="14" customWidth="1"/>
    <col min="5" max="5" width="10" customWidth="1"/>
    <col min="6" max="7" width="15" customWidth="1"/>
    <col min="8" max="8" width="72" customWidth="1"/>
  </cols>
  <sheetData>
    <row r="1" spans="1:8" ht="30" customHeight="1">
      <c r="A1" s="26" t="s">
        <v>278</v>
      </c>
      <c r="B1" s="26" t="s">
        <v>278</v>
      </c>
      <c r="C1" s="26" t="s">
        <v>278</v>
      </c>
      <c r="D1" s="26" t="s">
        <v>278</v>
      </c>
      <c r="E1" s="26" t="s">
        <v>278</v>
      </c>
      <c r="F1" s="26" t="s">
        <v>278</v>
      </c>
      <c r="G1" s="26" t="s">
        <v>278</v>
      </c>
      <c r="H1" s="26" t="s">
        <v>278</v>
      </c>
    </row>
    <row r="3" spans="1:8" ht="16">
      <c r="A3" s="1" t="s">
        <v>180</v>
      </c>
      <c r="B3" s="1" t="s">
        <v>86</v>
      </c>
      <c r="C3" s="1" t="s">
        <v>182</v>
      </c>
      <c r="D3" s="1" t="s">
        <v>121</v>
      </c>
      <c r="E3" s="1" t="s">
        <v>279</v>
      </c>
      <c r="F3" s="1" t="s">
        <v>280</v>
      </c>
      <c r="G3" s="1" t="s">
        <v>252</v>
      </c>
      <c r="H3" s="1" t="s">
        <v>281</v>
      </c>
    </row>
    <row r="4" spans="1:8" ht="15">
      <c r="A4" s="2" t="s">
        <v>188</v>
      </c>
      <c r="B4" s="2" t="s">
        <v>282</v>
      </c>
      <c r="C4" s="2" t="s">
        <v>283</v>
      </c>
      <c r="D4" s="2" t="s">
        <v>127</v>
      </c>
      <c r="E4" s="2" t="s">
        <v>255</v>
      </c>
      <c r="F4" s="2" t="s">
        <v>126</v>
      </c>
      <c r="G4" s="2" t="s">
        <v>173</v>
      </c>
      <c r="H4" s="2" t="s">
        <v>284</v>
      </c>
    </row>
    <row r="5" spans="1:8" ht="15">
      <c r="A5" s="2" t="s">
        <v>285</v>
      </c>
      <c r="B5" s="2" t="s">
        <v>286</v>
      </c>
      <c r="C5" s="2" t="s">
        <v>287</v>
      </c>
      <c r="D5" s="2" t="s">
        <v>243</v>
      </c>
      <c r="E5" s="2" t="s">
        <v>128</v>
      </c>
      <c r="F5" s="2" t="s">
        <v>136</v>
      </c>
      <c r="G5" s="2" t="s">
        <v>288</v>
      </c>
      <c r="H5" s="2" t="s">
        <v>289</v>
      </c>
    </row>
    <row r="6" spans="1:8" ht="15">
      <c r="A6" s="2" t="s">
        <v>290</v>
      </c>
      <c r="B6" s="2" t="s">
        <v>189</v>
      </c>
      <c r="C6" s="2" t="s">
        <v>291</v>
      </c>
      <c r="D6" s="2" t="s">
        <v>292</v>
      </c>
      <c r="E6" s="2"/>
      <c r="F6" s="2" t="s">
        <v>139</v>
      </c>
      <c r="G6" s="2" t="s">
        <v>293</v>
      </c>
      <c r="H6" s="2" t="s">
        <v>294</v>
      </c>
    </row>
    <row r="7" spans="1:8" ht="15">
      <c r="A7" s="2" t="s">
        <v>295</v>
      </c>
      <c r="B7" s="2" t="s">
        <v>296</v>
      </c>
      <c r="C7" s="2"/>
      <c r="D7" s="2" t="s">
        <v>297</v>
      </c>
      <c r="E7" s="2"/>
      <c r="F7" s="2" t="s">
        <v>298</v>
      </c>
      <c r="G7" s="2" t="s">
        <v>297</v>
      </c>
      <c r="H7" s="2" t="s">
        <v>299</v>
      </c>
    </row>
    <row r="8" spans="1:8" ht="30">
      <c r="A8" s="2" t="s">
        <v>300</v>
      </c>
      <c r="B8" s="2"/>
      <c r="C8" s="2"/>
      <c r="D8" s="2"/>
      <c r="E8" s="2"/>
      <c r="F8" s="2" t="s">
        <v>301</v>
      </c>
      <c r="G8" s="2"/>
      <c r="H8" s="2" t="s">
        <v>302</v>
      </c>
    </row>
  </sheetData>
  <mergeCells count="1">
    <mergeCell ref="A1:H1"/>
  </mergeCells>
  <pageMargins left="0.7" right="0.7" top="0.75" bottom="0.75" header="0.3" footer="0.3"/>
  <pageSetup paperSize="9" orientation="portrait" horizontalDpi="0" verticalDpi="0"/>
  <headerFooter>
    <oddHeader>&amp;R&amp;"Aptos"&amp;10&amp;K0000FF Classification:Business / Non-GDPR Data&amp;1#_x000D_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8</vt:i4>
      </vt:variant>
      <vt:variant>
        <vt:lpstr>Adlandırılmış Aralıklar</vt:lpstr>
      </vt:variant>
      <vt:variant>
        <vt:i4>1</vt:i4>
      </vt:variant>
    </vt:vector>
  </HeadingPairs>
  <TitlesOfParts>
    <vt:vector size="9" baseType="lpstr">
      <vt:lpstr>A3 Summary</vt:lpstr>
      <vt:lpstr>Problem Definition</vt:lpstr>
      <vt:lpstr>Data Analysis</vt:lpstr>
      <vt:lpstr>Root Cause Analysis</vt:lpstr>
      <vt:lpstr>Action Plan</vt:lpstr>
      <vt:lpstr>Effectiveness Check</vt:lpstr>
      <vt:lpstr>Lessons Learned</vt:lpstr>
      <vt:lpstr>Lists &amp; Settings</vt:lpstr>
      <vt:lpstr>'A3 Summary'!Yazdırma_Alanı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Barış Gövem</cp:lastModifiedBy>
  <dcterms:created xsi:type="dcterms:W3CDTF">2026-08-05T18:41:01Z</dcterms:created>
  <dcterms:modified xsi:type="dcterms:W3CDTF">2026-08-05T19:35:48Z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c741e8-2219-47a9-9e2d-9d2de387fc7e_Enabled">
    <vt:lpwstr>true</vt:lpwstr>
  </property>
  <property fmtid="{D5CDD505-2E9C-101B-9397-08002B2CF9AE}" pid="3" name="MSIP_Label_85c741e8-2219-47a9-9e2d-9d2de387fc7e_SetDate">
    <vt:lpwstr>2026-08-05T18:39:34Z</vt:lpwstr>
  </property>
  <property fmtid="{D5CDD505-2E9C-101B-9397-08002B2CF9AE}" pid="4" name="MSIP_Label_85c741e8-2219-47a9-9e2d-9d2de387fc7e_Method">
    <vt:lpwstr>Privileged</vt:lpwstr>
  </property>
  <property fmtid="{D5CDD505-2E9C-101B-9397-08002B2CF9AE}" pid="5" name="MSIP_Label_85c741e8-2219-47a9-9e2d-9d2de387fc7e_Name">
    <vt:lpwstr>Non GDPR</vt:lpwstr>
  </property>
  <property fmtid="{D5CDD505-2E9C-101B-9397-08002B2CF9AE}" pid="6" name="MSIP_Label_85c741e8-2219-47a9-9e2d-9d2de387fc7e_SiteId">
    <vt:lpwstr>ea9f28b7-1fd9-492e-8b27-25eec3a46024</vt:lpwstr>
  </property>
  <property fmtid="{D5CDD505-2E9C-101B-9397-08002B2CF9AE}" pid="7" name="MSIP_Label_85c741e8-2219-47a9-9e2d-9d2de387fc7e_ActionId">
    <vt:lpwstr>8f3558f6-cc04-44cd-8862-d601b1ca6f71</vt:lpwstr>
  </property>
  <property fmtid="{D5CDD505-2E9C-101B-9397-08002B2CF9AE}" pid="8" name="MSIP_Label_85c741e8-2219-47a9-9e2d-9d2de387fc7e_ContentBits">
    <vt:lpwstr>1</vt:lpwstr>
  </property>
  <property fmtid="{D5CDD505-2E9C-101B-9397-08002B2CF9AE}" pid="9" name="MSIP_Label_85c741e8-2219-47a9-9e2d-9d2de387fc7e_Tag">
    <vt:lpwstr>50, 0, 1, 1</vt:lpwstr>
  </property>
</Properties>
</file>